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_yhshzhang\PycharmProjects\hero\assets\"/>
    </mc:Choice>
  </mc:AlternateContent>
  <xr:revisionPtr revIDLastSave="0" documentId="13_ncr:1_{E0F67CB5-4A2F-4FCE-A46D-C151B7E7893A}" xr6:coauthVersionLast="47" xr6:coauthVersionMax="47" xr10:uidLastSave="{00000000-0000-0000-0000-000000000000}"/>
  <bookViews>
    <workbookView xWindow="-120" yWindow="-120" windowWidth="30960" windowHeight="16800" xr2:uid="{00000000-000D-0000-FFFF-FFFF00000000}"/>
  </bookViews>
  <sheets>
    <sheet name="计算1" sheetId="17" r:id="rId1"/>
    <sheet name="计算 2" sheetId="15" r:id="rId2"/>
    <sheet name="兵力映射新" sheetId="16" r:id="rId3"/>
    <sheet name="兵力映射" sheetId="6" r:id="rId4"/>
    <sheet name="英雄名对应ID" sheetId="11" r:id="rId5"/>
    <sheet name="至臻英雄" sheetId="12" r:id="rId6"/>
    <sheet name="赛季英雄" sheetId="14" r:id="rId7"/>
    <sheet name="英雄皮肤" sheetId="13" r:id="rId8"/>
    <sheet name="注意事项" sheetId="9" r:id="rId9"/>
  </sheets>
  <definedNames>
    <definedName name="_xlnm._FilterDatabase" localSheetId="3" hidden="1">兵力映射!$A$1:$D$65</definedName>
    <definedName name="兵力调节">兵力映射!$G$2:$H$23</definedName>
    <definedName name="兵力区间">兵力映射!$G$2:$G$23</definedName>
    <definedName name="属性">#REF!</definedName>
    <definedName name="属性2">#REF!</definedName>
    <definedName name="属性3">#REF!</definedName>
    <definedName name="属性4" localSheetId="1">'计算 2'!$B$2:$F$7</definedName>
    <definedName name="属性4" localSheetId="0">计算1!$B$8:$F$13</definedName>
    <definedName name="属性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7" l="1"/>
  <c r="G22" i="15"/>
  <c r="E28" i="17"/>
  <c r="E2" i="15"/>
  <c r="C18" i="17"/>
  <c r="D18" i="17" s="1"/>
  <c r="D11" i="17"/>
  <c r="E12" i="15"/>
  <c r="E11" i="15"/>
  <c r="J12" i="15"/>
  <c r="J11" i="15"/>
  <c r="C12" i="15"/>
  <c r="C11" i="15"/>
  <c r="E18" i="17"/>
  <c r="E17" i="17"/>
  <c r="J18" i="17"/>
  <c r="J17" i="17"/>
  <c r="C17" i="17"/>
  <c r="D17" i="17" s="1"/>
  <c r="C4" i="15"/>
  <c r="E7" i="15"/>
  <c r="D5" i="15"/>
  <c r="E13" i="17"/>
  <c r="E8" i="17"/>
  <c r="C10" i="17"/>
  <c r="N18" i="17" s="1"/>
  <c r="F28" i="17"/>
  <c r="K16" i="17"/>
  <c r="D16" i="17"/>
  <c r="L16" i="17" s="1"/>
  <c r="E3005" i="16"/>
  <c r="D3005" i="16"/>
  <c r="C3005" i="16" s="1"/>
  <c r="E3004" i="16"/>
  <c r="D3004" i="16"/>
  <c r="C3004" i="16" s="1"/>
  <c r="E3003" i="16"/>
  <c r="D3003" i="16"/>
  <c r="C3003" i="16" s="1"/>
  <c r="E3002" i="16"/>
  <c r="D3002" i="16"/>
  <c r="C3002" i="16" s="1"/>
  <c r="E3001" i="16"/>
  <c r="D3001" i="16"/>
  <c r="C3001" i="16" s="1"/>
  <c r="E3000" i="16"/>
  <c r="D3000" i="16"/>
  <c r="E2999" i="16"/>
  <c r="D2999" i="16"/>
  <c r="C2999" i="16" s="1"/>
  <c r="E2998" i="16"/>
  <c r="D2998" i="16"/>
  <c r="E2997" i="16"/>
  <c r="D2997" i="16"/>
  <c r="C2997" i="16" s="1"/>
  <c r="E2996" i="16"/>
  <c r="D2996" i="16"/>
  <c r="E2995" i="16"/>
  <c r="D2995" i="16"/>
  <c r="C2995" i="16" s="1"/>
  <c r="E2994" i="16"/>
  <c r="D2994" i="16"/>
  <c r="B2994" i="16" s="1"/>
  <c r="E2993" i="16"/>
  <c r="D2993" i="16"/>
  <c r="E2992" i="16"/>
  <c r="D2992" i="16"/>
  <c r="E2991" i="16"/>
  <c r="D2991" i="16"/>
  <c r="C2991" i="16" s="1"/>
  <c r="E2990" i="16"/>
  <c r="D2990" i="16"/>
  <c r="C2990" i="16" s="1"/>
  <c r="E2989" i="16"/>
  <c r="D2989" i="16"/>
  <c r="E2988" i="16"/>
  <c r="D2988" i="16"/>
  <c r="E2987" i="16"/>
  <c r="D2987" i="16"/>
  <c r="C2987" i="16" s="1"/>
  <c r="E2986" i="16"/>
  <c r="D2986" i="16"/>
  <c r="E2985" i="16"/>
  <c r="D2985" i="16"/>
  <c r="E2984" i="16"/>
  <c r="D2984" i="16"/>
  <c r="E2983" i="16"/>
  <c r="D2983" i="16"/>
  <c r="C2983" i="16" s="1"/>
  <c r="E2982" i="16"/>
  <c r="D2982" i="16"/>
  <c r="C2982" i="16" s="1"/>
  <c r="E2981" i="16"/>
  <c r="D2981" i="16"/>
  <c r="E2980" i="16"/>
  <c r="D2980" i="16"/>
  <c r="E2979" i="16"/>
  <c r="D2979" i="16"/>
  <c r="B2979" i="16" s="1"/>
  <c r="E2978" i="16"/>
  <c r="D2978" i="16"/>
  <c r="C2978" i="16" s="1"/>
  <c r="E2977" i="16"/>
  <c r="D2977" i="16"/>
  <c r="E2976" i="16"/>
  <c r="D2976" i="16"/>
  <c r="E2975" i="16"/>
  <c r="D2975" i="16"/>
  <c r="B2975" i="16" s="1"/>
  <c r="E2974" i="16"/>
  <c r="D2974" i="16"/>
  <c r="B2974" i="16" s="1"/>
  <c r="E2973" i="16"/>
  <c r="D2973" i="16"/>
  <c r="E2972" i="16"/>
  <c r="D2972" i="16"/>
  <c r="E2971" i="16"/>
  <c r="D2971" i="16"/>
  <c r="C2971" i="16" s="1"/>
  <c r="E2970" i="16"/>
  <c r="D2970" i="16"/>
  <c r="B2970" i="16" s="1"/>
  <c r="E2969" i="16"/>
  <c r="D2969" i="16"/>
  <c r="E2968" i="16"/>
  <c r="D2968" i="16"/>
  <c r="E2967" i="16"/>
  <c r="D2967" i="16"/>
  <c r="E2966" i="16"/>
  <c r="D2966" i="16"/>
  <c r="E2965" i="16"/>
  <c r="D2965" i="16"/>
  <c r="E2964" i="16"/>
  <c r="D2964" i="16"/>
  <c r="E2963" i="16"/>
  <c r="D2963" i="16"/>
  <c r="C2963" i="16" s="1"/>
  <c r="E2962" i="16"/>
  <c r="D2962" i="16"/>
  <c r="C2962" i="16" s="1"/>
  <c r="E2961" i="16"/>
  <c r="D2961" i="16"/>
  <c r="E2960" i="16"/>
  <c r="D2960" i="16"/>
  <c r="E2959" i="16"/>
  <c r="D2959" i="16"/>
  <c r="C2959" i="16" s="1"/>
  <c r="E2958" i="16"/>
  <c r="D2958" i="16"/>
  <c r="B2958" i="16" s="1"/>
  <c r="E2957" i="16"/>
  <c r="D2957" i="16"/>
  <c r="E2956" i="16"/>
  <c r="D2956" i="16"/>
  <c r="E2955" i="16"/>
  <c r="D2955" i="16"/>
  <c r="B2955" i="16" s="1"/>
  <c r="E2954" i="16"/>
  <c r="D2954" i="16"/>
  <c r="C2954" i="16" s="1"/>
  <c r="E2953" i="16"/>
  <c r="D2953" i="16"/>
  <c r="E2952" i="16"/>
  <c r="D2952" i="16"/>
  <c r="E2951" i="16"/>
  <c r="D2951" i="16"/>
  <c r="B2951" i="16" s="1"/>
  <c r="E2950" i="16"/>
  <c r="D2950" i="16"/>
  <c r="E2949" i="16"/>
  <c r="D2949" i="16"/>
  <c r="E2948" i="16"/>
  <c r="D2948" i="16"/>
  <c r="E2947" i="16"/>
  <c r="D2947" i="16"/>
  <c r="B2947" i="16" s="1"/>
  <c r="E2946" i="16"/>
  <c r="D2946" i="16"/>
  <c r="C2946" i="16" s="1"/>
  <c r="E2945" i="16"/>
  <c r="D2945" i="16"/>
  <c r="E2944" i="16"/>
  <c r="D2944" i="16"/>
  <c r="E2943" i="16"/>
  <c r="D2943" i="16"/>
  <c r="B2943" i="16" s="1"/>
  <c r="E2942" i="16"/>
  <c r="D2942" i="16"/>
  <c r="E2941" i="16"/>
  <c r="D2941" i="16"/>
  <c r="E2940" i="16"/>
  <c r="D2940" i="16"/>
  <c r="E2939" i="16"/>
  <c r="D2939" i="16"/>
  <c r="C2939" i="16" s="1"/>
  <c r="E2938" i="16"/>
  <c r="D2938" i="16"/>
  <c r="E2937" i="16"/>
  <c r="D2937" i="16"/>
  <c r="E2936" i="16"/>
  <c r="D2936" i="16"/>
  <c r="E2935" i="16"/>
  <c r="D2935" i="16"/>
  <c r="C2935" i="16" s="1"/>
  <c r="E2934" i="16"/>
  <c r="D2934" i="16"/>
  <c r="C2934" i="16" s="1"/>
  <c r="E2933" i="16"/>
  <c r="D2933" i="16"/>
  <c r="E2932" i="16"/>
  <c r="D2932" i="16"/>
  <c r="E2931" i="16"/>
  <c r="D2931" i="16"/>
  <c r="B2931" i="16" s="1"/>
  <c r="E2930" i="16"/>
  <c r="D2930" i="16"/>
  <c r="C2930" i="16" s="1"/>
  <c r="E2929" i="16"/>
  <c r="D2929" i="16"/>
  <c r="E2928" i="16"/>
  <c r="D2928" i="16"/>
  <c r="E2927" i="16"/>
  <c r="D2927" i="16"/>
  <c r="C2927" i="16" s="1"/>
  <c r="E2926" i="16"/>
  <c r="D2926" i="16"/>
  <c r="C2926" i="16" s="1"/>
  <c r="E2925" i="16"/>
  <c r="D2925" i="16"/>
  <c r="E2924" i="16"/>
  <c r="D2924" i="16"/>
  <c r="E2923" i="16"/>
  <c r="D2923" i="16"/>
  <c r="B2923" i="16" s="1"/>
  <c r="E2922" i="16"/>
  <c r="D2922" i="16"/>
  <c r="C2922" i="16" s="1"/>
  <c r="E2921" i="16"/>
  <c r="D2921" i="16"/>
  <c r="E2920" i="16"/>
  <c r="D2920" i="16"/>
  <c r="E2919" i="16"/>
  <c r="D2919" i="16"/>
  <c r="B2919" i="16" s="1"/>
  <c r="E2918" i="16"/>
  <c r="D2918" i="16"/>
  <c r="E2917" i="16"/>
  <c r="D2917" i="16"/>
  <c r="E2916" i="16"/>
  <c r="D2916" i="16"/>
  <c r="E2915" i="16"/>
  <c r="D2915" i="16"/>
  <c r="B2915" i="16" s="1"/>
  <c r="E2914" i="16"/>
  <c r="D2914" i="16"/>
  <c r="E2913" i="16"/>
  <c r="D2913" i="16"/>
  <c r="E2912" i="16"/>
  <c r="D2912" i="16"/>
  <c r="E2911" i="16"/>
  <c r="D2911" i="16"/>
  <c r="C2911" i="16" s="1"/>
  <c r="E2910" i="16"/>
  <c r="D2910" i="16"/>
  <c r="C2910" i="16" s="1"/>
  <c r="E2909" i="16"/>
  <c r="D2909" i="16"/>
  <c r="E2908" i="16"/>
  <c r="D2908" i="16"/>
  <c r="E2907" i="16"/>
  <c r="D2907" i="16"/>
  <c r="E2906" i="16"/>
  <c r="D2906" i="16"/>
  <c r="E2905" i="16"/>
  <c r="D2905" i="16"/>
  <c r="E2904" i="16"/>
  <c r="D2904" i="16"/>
  <c r="E2903" i="16"/>
  <c r="D2903" i="16"/>
  <c r="C2903" i="16" s="1"/>
  <c r="E2902" i="16"/>
  <c r="D2902" i="16"/>
  <c r="C2902" i="16" s="1"/>
  <c r="E2901" i="16"/>
  <c r="D2901" i="16"/>
  <c r="E2900" i="16"/>
  <c r="D2900" i="16"/>
  <c r="E2899" i="16"/>
  <c r="D2899" i="16"/>
  <c r="B2899" i="16" s="1"/>
  <c r="E2898" i="16"/>
  <c r="D2898" i="16"/>
  <c r="C2898" i="16" s="1"/>
  <c r="E2897" i="16"/>
  <c r="D2897" i="16"/>
  <c r="E2896" i="16"/>
  <c r="D2896" i="16"/>
  <c r="E2895" i="16"/>
  <c r="D2895" i="16"/>
  <c r="C2895" i="16" s="1"/>
  <c r="B2895" i="16"/>
  <c r="E2894" i="16"/>
  <c r="D2894" i="16"/>
  <c r="E2893" i="16"/>
  <c r="D2893" i="16"/>
  <c r="E2892" i="16"/>
  <c r="D2892" i="16"/>
  <c r="E2891" i="16"/>
  <c r="D2891" i="16"/>
  <c r="C2891" i="16" s="1"/>
  <c r="E2890" i="16"/>
  <c r="D2890" i="16"/>
  <c r="E2889" i="16"/>
  <c r="D2889" i="16"/>
  <c r="E2888" i="16"/>
  <c r="D2888" i="16"/>
  <c r="E2887" i="16"/>
  <c r="D2887" i="16"/>
  <c r="E2886" i="16"/>
  <c r="D2886" i="16"/>
  <c r="C2886" i="16" s="1"/>
  <c r="E2885" i="16"/>
  <c r="D2885" i="16"/>
  <c r="E2884" i="16"/>
  <c r="D2884" i="16"/>
  <c r="E2883" i="16"/>
  <c r="D2883" i="16"/>
  <c r="C2883" i="16" s="1"/>
  <c r="E2882" i="16"/>
  <c r="D2882" i="16"/>
  <c r="E2881" i="16"/>
  <c r="D2881" i="16"/>
  <c r="E2880" i="16"/>
  <c r="D2880" i="16"/>
  <c r="E2879" i="16"/>
  <c r="D2879" i="16"/>
  <c r="C2879" i="16" s="1"/>
  <c r="E2878" i="16"/>
  <c r="D2878" i="16"/>
  <c r="C2878" i="16" s="1"/>
  <c r="E2877" i="16"/>
  <c r="D2877" i="16"/>
  <c r="E2876" i="16"/>
  <c r="D2876" i="16"/>
  <c r="E2875" i="16"/>
  <c r="D2875" i="16"/>
  <c r="E2874" i="16"/>
  <c r="D2874" i="16"/>
  <c r="C2874" i="16" s="1"/>
  <c r="E2873" i="16"/>
  <c r="D2873" i="16"/>
  <c r="E2872" i="16"/>
  <c r="D2872" i="16"/>
  <c r="E2871" i="16"/>
  <c r="D2871" i="16"/>
  <c r="B2871" i="16" s="1"/>
  <c r="E2870" i="16"/>
  <c r="D2870" i="16"/>
  <c r="E2869" i="16"/>
  <c r="D2869" i="16"/>
  <c r="E2868" i="16"/>
  <c r="D2868" i="16"/>
  <c r="E2867" i="16"/>
  <c r="D2867" i="16"/>
  <c r="C2867" i="16" s="1"/>
  <c r="E2866" i="16"/>
  <c r="D2866" i="16"/>
  <c r="C2866" i="16" s="1"/>
  <c r="E2865" i="16"/>
  <c r="D2865" i="16"/>
  <c r="E2864" i="16"/>
  <c r="D2864" i="16"/>
  <c r="E2863" i="16"/>
  <c r="D2863" i="16"/>
  <c r="B2863" i="16" s="1"/>
  <c r="E2862" i="16"/>
  <c r="D2862" i="16"/>
  <c r="E2861" i="16"/>
  <c r="D2861" i="16"/>
  <c r="E2860" i="16"/>
  <c r="D2860" i="16"/>
  <c r="E2859" i="16"/>
  <c r="D2859" i="16"/>
  <c r="B2859" i="16" s="1"/>
  <c r="E2858" i="16"/>
  <c r="D2858" i="16"/>
  <c r="C2858" i="16" s="1"/>
  <c r="E2857" i="16"/>
  <c r="D2857" i="16"/>
  <c r="E2856" i="16"/>
  <c r="D2856" i="16"/>
  <c r="E2855" i="16"/>
  <c r="D2855" i="16"/>
  <c r="B2855" i="16" s="1"/>
  <c r="E2854" i="16"/>
  <c r="D2854" i="16"/>
  <c r="C2854" i="16" s="1"/>
  <c r="E2853" i="16"/>
  <c r="D2853" i="16"/>
  <c r="E2852" i="16"/>
  <c r="D2852" i="16"/>
  <c r="E2851" i="16"/>
  <c r="D2851" i="16"/>
  <c r="B2851" i="16" s="1"/>
  <c r="E2850" i="16"/>
  <c r="D2850" i="16"/>
  <c r="C2850" i="16" s="1"/>
  <c r="E2849" i="16"/>
  <c r="D2849" i="16"/>
  <c r="E2848" i="16"/>
  <c r="D2848" i="16"/>
  <c r="E2847" i="16"/>
  <c r="D2847" i="16"/>
  <c r="C2847" i="16" s="1"/>
  <c r="E2846" i="16"/>
  <c r="D2846" i="16"/>
  <c r="E2845" i="16"/>
  <c r="D2845" i="16"/>
  <c r="E2844" i="16"/>
  <c r="D2844" i="16"/>
  <c r="E2843" i="16"/>
  <c r="D2843" i="16"/>
  <c r="C2843" i="16" s="1"/>
  <c r="E2842" i="16"/>
  <c r="D2842" i="16"/>
  <c r="B2842" i="16" s="1"/>
  <c r="E2841" i="16"/>
  <c r="D2841" i="16"/>
  <c r="E2840" i="16"/>
  <c r="D2840" i="16"/>
  <c r="E2839" i="16"/>
  <c r="D2839" i="16"/>
  <c r="B2839" i="16" s="1"/>
  <c r="E2838" i="16"/>
  <c r="D2838" i="16"/>
  <c r="C2838" i="16" s="1"/>
  <c r="E2837" i="16"/>
  <c r="D2837" i="16"/>
  <c r="E2836" i="16"/>
  <c r="D2836" i="16"/>
  <c r="E2835" i="16"/>
  <c r="D2835" i="16"/>
  <c r="C2835" i="16" s="1"/>
  <c r="E2834" i="16"/>
  <c r="D2834" i="16"/>
  <c r="E2833" i="16"/>
  <c r="D2833" i="16"/>
  <c r="E2832" i="16"/>
  <c r="D2832" i="16"/>
  <c r="E2831" i="16"/>
  <c r="D2831" i="16"/>
  <c r="C2831" i="16" s="1"/>
  <c r="E2830" i="16"/>
  <c r="D2830" i="16"/>
  <c r="C2830" i="16" s="1"/>
  <c r="E2829" i="16"/>
  <c r="D2829" i="16"/>
  <c r="E2828" i="16"/>
  <c r="D2828" i="16"/>
  <c r="E2827" i="16"/>
  <c r="D2827" i="16"/>
  <c r="B2827" i="16" s="1"/>
  <c r="E2826" i="16"/>
  <c r="D2826" i="16"/>
  <c r="B2826" i="16" s="1"/>
  <c r="E2825" i="16"/>
  <c r="D2825" i="16"/>
  <c r="E2824" i="16"/>
  <c r="D2824" i="16"/>
  <c r="E2823" i="16"/>
  <c r="D2823" i="16"/>
  <c r="C2823" i="16" s="1"/>
  <c r="B2823" i="16"/>
  <c r="E2822" i="16"/>
  <c r="D2822" i="16"/>
  <c r="C2822" i="16" s="1"/>
  <c r="E2821" i="16"/>
  <c r="D2821" i="16"/>
  <c r="E2820" i="16"/>
  <c r="D2820" i="16"/>
  <c r="E2819" i="16"/>
  <c r="D2819" i="16"/>
  <c r="C2819" i="16" s="1"/>
  <c r="E2818" i="16"/>
  <c r="D2818" i="16"/>
  <c r="E2817" i="16"/>
  <c r="D2817" i="16"/>
  <c r="E2816" i="16"/>
  <c r="D2816" i="16"/>
  <c r="E2815" i="16"/>
  <c r="D2815" i="16"/>
  <c r="C2815" i="16" s="1"/>
  <c r="E2814" i="16"/>
  <c r="D2814" i="16"/>
  <c r="C2814" i="16" s="1"/>
  <c r="E2813" i="16"/>
  <c r="D2813" i="16"/>
  <c r="E2812" i="16"/>
  <c r="D2812" i="16"/>
  <c r="C2812" i="16" s="1"/>
  <c r="E2811" i="16"/>
  <c r="D2811" i="16"/>
  <c r="E2810" i="16"/>
  <c r="D2810" i="16"/>
  <c r="C2810" i="16" s="1"/>
  <c r="E2809" i="16"/>
  <c r="D2809" i="16"/>
  <c r="E2808" i="16"/>
  <c r="D2808" i="16"/>
  <c r="C2808" i="16" s="1"/>
  <c r="E2807" i="16"/>
  <c r="D2807" i="16"/>
  <c r="C2807" i="16" s="1"/>
  <c r="E2806" i="16"/>
  <c r="D2806" i="16"/>
  <c r="E2805" i="16"/>
  <c r="D2805" i="16"/>
  <c r="E2804" i="16"/>
  <c r="D2804" i="16"/>
  <c r="C2804" i="16" s="1"/>
  <c r="E2803" i="16"/>
  <c r="D2803" i="16"/>
  <c r="E2802" i="16"/>
  <c r="D2802" i="16"/>
  <c r="C2802" i="16" s="1"/>
  <c r="E2801" i="16"/>
  <c r="D2801" i="16"/>
  <c r="E2800" i="16"/>
  <c r="D2800" i="16"/>
  <c r="C2800" i="16" s="1"/>
  <c r="E2799" i="16"/>
  <c r="D2799" i="16"/>
  <c r="C2799" i="16" s="1"/>
  <c r="E2798" i="16"/>
  <c r="D2798" i="16"/>
  <c r="C2798" i="16" s="1"/>
  <c r="B2798" i="16"/>
  <c r="E2797" i="16"/>
  <c r="D2797" i="16"/>
  <c r="E2796" i="16"/>
  <c r="D2796" i="16"/>
  <c r="E2795" i="16"/>
  <c r="D2795" i="16"/>
  <c r="E2794" i="16"/>
  <c r="D2794" i="16"/>
  <c r="C2794" i="16" s="1"/>
  <c r="E2793" i="16"/>
  <c r="D2793" i="16"/>
  <c r="E2792" i="16"/>
  <c r="D2792" i="16"/>
  <c r="C2792" i="16" s="1"/>
  <c r="E2791" i="16"/>
  <c r="D2791" i="16"/>
  <c r="B2791" i="16" s="1"/>
  <c r="E2790" i="16"/>
  <c r="D2790" i="16"/>
  <c r="E2789" i="16"/>
  <c r="D2789" i="16"/>
  <c r="E2788" i="16"/>
  <c r="D2788" i="16"/>
  <c r="C2788" i="16" s="1"/>
  <c r="E2787" i="16"/>
  <c r="D2787" i="16"/>
  <c r="C2787" i="16" s="1"/>
  <c r="E2786" i="16"/>
  <c r="D2786" i="16"/>
  <c r="C2786" i="16" s="1"/>
  <c r="E2785" i="16"/>
  <c r="D2785" i="16"/>
  <c r="E2784" i="16"/>
  <c r="D2784" i="16"/>
  <c r="C2784" i="16" s="1"/>
  <c r="E2783" i="16"/>
  <c r="D2783" i="16"/>
  <c r="E2782" i="16"/>
  <c r="D2782" i="16"/>
  <c r="E2781" i="16"/>
  <c r="D2781" i="16"/>
  <c r="E2780" i="16"/>
  <c r="D2780" i="16"/>
  <c r="C2780" i="16" s="1"/>
  <c r="E2779" i="16"/>
  <c r="D2779" i="16"/>
  <c r="E2778" i="16"/>
  <c r="D2778" i="16"/>
  <c r="E2777" i="16"/>
  <c r="D2777" i="16"/>
  <c r="E2776" i="16"/>
  <c r="D2776" i="16"/>
  <c r="E2775" i="16"/>
  <c r="D2775" i="16"/>
  <c r="B2775" i="16" s="1"/>
  <c r="E2774" i="16"/>
  <c r="D2774" i="16"/>
  <c r="E2773" i="16"/>
  <c r="D2773" i="16"/>
  <c r="E2772" i="16"/>
  <c r="D2772" i="16"/>
  <c r="C2772" i="16" s="1"/>
  <c r="E2771" i="16"/>
  <c r="D2771" i="16"/>
  <c r="E2770" i="16"/>
  <c r="D2770" i="16"/>
  <c r="C2770" i="16" s="1"/>
  <c r="E2769" i="16"/>
  <c r="D2769" i="16"/>
  <c r="B2769" i="16" s="1"/>
  <c r="E2768" i="16"/>
  <c r="D2768" i="16"/>
  <c r="C2768" i="16" s="1"/>
  <c r="E2767" i="16"/>
  <c r="D2767" i="16"/>
  <c r="C2767" i="16" s="1"/>
  <c r="E2766" i="16"/>
  <c r="D2766" i="16"/>
  <c r="B2766" i="16" s="1"/>
  <c r="E2765" i="16"/>
  <c r="D2765" i="16"/>
  <c r="B2765" i="16" s="1"/>
  <c r="E2764" i="16"/>
  <c r="D2764" i="16"/>
  <c r="E2763" i="16"/>
  <c r="D2763" i="16"/>
  <c r="C2763" i="16" s="1"/>
  <c r="B2763" i="16"/>
  <c r="E2762" i="16"/>
  <c r="D2762" i="16"/>
  <c r="C2762" i="16" s="1"/>
  <c r="E2761" i="16"/>
  <c r="D2761" i="16"/>
  <c r="E2760" i="16"/>
  <c r="D2760" i="16"/>
  <c r="C2760" i="16" s="1"/>
  <c r="E2759" i="16"/>
  <c r="D2759" i="16"/>
  <c r="B2759" i="16" s="1"/>
  <c r="E2758" i="16"/>
  <c r="D2758" i="16"/>
  <c r="B2758" i="16" s="1"/>
  <c r="E2757" i="16"/>
  <c r="D2757" i="16"/>
  <c r="B2757" i="16" s="1"/>
  <c r="E2756" i="16"/>
  <c r="D2756" i="16"/>
  <c r="E2755" i="16"/>
  <c r="D2755" i="16"/>
  <c r="B2755" i="16" s="1"/>
  <c r="E2754" i="16"/>
  <c r="D2754" i="16"/>
  <c r="E2753" i="16"/>
  <c r="D2753" i="16"/>
  <c r="E2752" i="16"/>
  <c r="D2752" i="16"/>
  <c r="C2752" i="16" s="1"/>
  <c r="E2751" i="16"/>
  <c r="D2751" i="16"/>
  <c r="E2750" i="16"/>
  <c r="D2750" i="16"/>
  <c r="E2749" i="16"/>
  <c r="D2749" i="16"/>
  <c r="B2749" i="16" s="1"/>
  <c r="E2748" i="16"/>
  <c r="D2748" i="16"/>
  <c r="C2748" i="16" s="1"/>
  <c r="E2747" i="16"/>
  <c r="D2747" i="16"/>
  <c r="B2747" i="16" s="1"/>
  <c r="E2746" i="16"/>
  <c r="D2746" i="16"/>
  <c r="B2746" i="16" s="1"/>
  <c r="C2746" i="16"/>
  <c r="E2745" i="16"/>
  <c r="D2745" i="16"/>
  <c r="B2745" i="16" s="1"/>
  <c r="E2744" i="16"/>
  <c r="D2744" i="16"/>
  <c r="C2744" i="16" s="1"/>
  <c r="E2743" i="16"/>
  <c r="D2743" i="16"/>
  <c r="B2743" i="16" s="1"/>
  <c r="E2742" i="16"/>
  <c r="D2742" i="16"/>
  <c r="E2741" i="16"/>
  <c r="D2741" i="16"/>
  <c r="B2741" i="16" s="1"/>
  <c r="E2740" i="16"/>
  <c r="D2740" i="16"/>
  <c r="E2739" i="16"/>
  <c r="D2739" i="16"/>
  <c r="C2739" i="16" s="1"/>
  <c r="E2738" i="16"/>
  <c r="D2738" i="16"/>
  <c r="B2738" i="16" s="1"/>
  <c r="E2737" i="16"/>
  <c r="D2737" i="16"/>
  <c r="E2736" i="16"/>
  <c r="D2736" i="16"/>
  <c r="E2735" i="16"/>
  <c r="D2735" i="16"/>
  <c r="E2734" i="16"/>
  <c r="D2734" i="16"/>
  <c r="E2733" i="16"/>
  <c r="D2733" i="16"/>
  <c r="E2732" i="16"/>
  <c r="D2732" i="16"/>
  <c r="C2732" i="16" s="1"/>
  <c r="E2731" i="16"/>
  <c r="D2731" i="16"/>
  <c r="C2731" i="16" s="1"/>
  <c r="E2730" i="16"/>
  <c r="D2730" i="16"/>
  <c r="C2730" i="16" s="1"/>
  <c r="E2729" i="16"/>
  <c r="D2729" i="16"/>
  <c r="B2729" i="16" s="1"/>
  <c r="E2728" i="16"/>
  <c r="D2728" i="16"/>
  <c r="C2728" i="16" s="1"/>
  <c r="E2727" i="16"/>
  <c r="D2727" i="16"/>
  <c r="C2727" i="16" s="1"/>
  <c r="E2726" i="16"/>
  <c r="D2726" i="16"/>
  <c r="B2726" i="16" s="1"/>
  <c r="E2725" i="16"/>
  <c r="D2725" i="16"/>
  <c r="B2725" i="16" s="1"/>
  <c r="C2725" i="16"/>
  <c r="E2724" i="16"/>
  <c r="D2724" i="16"/>
  <c r="C2724" i="16" s="1"/>
  <c r="E2723" i="16"/>
  <c r="D2723" i="16"/>
  <c r="E2722" i="16"/>
  <c r="D2722" i="16"/>
  <c r="C2722" i="16" s="1"/>
  <c r="E2721" i="16"/>
  <c r="D2721" i="16"/>
  <c r="B2721" i="16" s="1"/>
  <c r="E2720" i="16"/>
  <c r="D2720" i="16"/>
  <c r="C2720" i="16" s="1"/>
  <c r="E2719" i="16"/>
  <c r="D2719" i="16"/>
  <c r="C2719" i="16" s="1"/>
  <c r="E2718" i="16"/>
  <c r="D2718" i="16"/>
  <c r="E2717" i="16"/>
  <c r="D2717" i="16"/>
  <c r="B2717" i="16" s="1"/>
  <c r="E2716" i="16"/>
  <c r="D2716" i="16"/>
  <c r="C2716" i="16" s="1"/>
  <c r="E2715" i="16"/>
  <c r="D2715" i="16"/>
  <c r="C2715" i="16" s="1"/>
  <c r="E2714" i="16"/>
  <c r="D2714" i="16"/>
  <c r="C2714" i="16"/>
  <c r="B2714" i="16"/>
  <c r="E2713" i="16"/>
  <c r="D2713" i="16"/>
  <c r="B2713" i="16" s="1"/>
  <c r="E2712" i="16"/>
  <c r="D2712" i="16"/>
  <c r="C2712" i="16" s="1"/>
  <c r="E2711" i="16"/>
  <c r="D2711" i="16"/>
  <c r="E2710" i="16"/>
  <c r="D2710" i="16"/>
  <c r="C2710" i="16" s="1"/>
  <c r="E2709" i="16"/>
  <c r="D2709" i="16"/>
  <c r="C2709" i="16" s="1"/>
  <c r="E2708" i="16"/>
  <c r="D2708" i="16"/>
  <c r="E2707" i="16"/>
  <c r="D2707" i="16"/>
  <c r="B2707" i="16" s="1"/>
  <c r="E2706" i="16"/>
  <c r="D2706" i="16"/>
  <c r="C2706" i="16" s="1"/>
  <c r="E2705" i="16"/>
  <c r="D2705" i="16"/>
  <c r="C2705" i="16" s="1"/>
  <c r="E2704" i="16"/>
  <c r="D2704" i="16"/>
  <c r="C2704" i="16" s="1"/>
  <c r="E2703" i="16"/>
  <c r="D2703" i="16"/>
  <c r="B2703" i="16" s="1"/>
  <c r="E2702" i="16"/>
  <c r="D2702" i="16"/>
  <c r="E2701" i="16"/>
  <c r="D2701" i="16"/>
  <c r="E2700" i="16"/>
  <c r="D2700" i="16"/>
  <c r="C2700" i="16" s="1"/>
  <c r="E2699" i="16"/>
  <c r="D2699" i="16"/>
  <c r="B2699" i="16" s="1"/>
  <c r="E2698" i="16"/>
  <c r="D2698" i="16"/>
  <c r="C2698" i="16" s="1"/>
  <c r="E2697" i="16"/>
  <c r="D2697" i="16"/>
  <c r="C2697" i="16" s="1"/>
  <c r="E2696" i="16"/>
  <c r="D2696" i="16"/>
  <c r="C2696" i="16" s="1"/>
  <c r="E2695" i="16"/>
  <c r="D2695" i="16"/>
  <c r="C2695" i="16" s="1"/>
  <c r="E2694" i="16"/>
  <c r="D2694" i="16"/>
  <c r="C2694" i="16" s="1"/>
  <c r="E2693" i="16"/>
  <c r="D2693" i="16"/>
  <c r="C2693" i="16" s="1"/>
  <c r="E2692" i="16"/>
  <c r="D2692" i="16"/>
  <c r="C2692" i="16" s="1"/>
  <c r="E2691" i="16"/>
  <c r="D2691" i="16"/>
  <c r="E2690" i="16"/>
  <c r="D2690" i="16"/>
  <c r="E2689" i="16"/>
  <c r="D2689" i="16"/>
  <c r="E2688" i="16"/>
  <c r="D2688" i="16"/>
  <c r="E2687" i="16"/>
  <c r="D2687" i="16"/>
  <c r="C2687" i="16" s="1"/>
  <c r="E2686" i="16"/>
  <c r="D2686" i="16"/>
  <c r="B2686" i="16" s="1"/>
  <c r="E2685" i="16"/>
  <c r="D2685" i="16"/>
  <c r="C2685" i="16" s="1"/>
  <c r="E2684" i="16"/>
  <c r="D2684" i="16"/>
  <c r="C2684" i="16" s="1"/>
  <c r="E2683" i="16"/>
  <c r="D2683" i="16"/>
  <c r="B2683" i="16" s="1"/>
  <c r="E2682" i="16"/>
  <c r="D2682" i="16"/>
  <c r="C2682" i="16" s="1"/>
  <c r="E2681" i="16"/>
  <c r="D2681" i="16"/>
  <c r="B2681" i="16" s="1"/>
  <c r="E2680" i="16"/>
  <c r="D2680" i="16"/>
  <c r="C2680" i="16" s="1"/>
  <c r="E2679" i="16"/>
  <c r="D2679" i="16"/>
  <c r="B2679" i="16" s="1"/>
  <c r="E2678" i="16"/>
  <c r="D2678" i="16"/>
  <c r="C2678" i="16" s="1"/>
  <c r="E2677" i="16"/>
  <c r="D2677" i="16"/>
  <c r="B2677" i="16" s="1"/>
  <c r="E2676" i="16"/>
  <c r="D2676" i="16"/>
  <c r="C2676" i="16" s="1"/>
  <c r="E2675" i="16"/>
  <c r="D2675" i="16"/>
  <c r="C2675" i="16" s="1"/>
  <c r="E2674" i="16"/>
  <c r="D2674" i="16"/>
  <c r="E2673" i="16"/>
  <c r="D2673" i="16"/>
  <c r="C2673" i="16" s="1"/>
  <c r="E2672" i="16"/>
  <c r="D2672" i="16"/>
  <c r="C2672" i="16" s="1"/>
  <c r="E2671" i="16"/>
  <c r="D2671" i="16"/>
  <c r="E2670" i="16"/>
  <c r="D2670" i="16"/>
  <c r="C2670" i="16" s="1"/>
  <c r="E2669" i="16"/>
  <c r="D2669" i="16"/>
  <c r="C2669" i="16" s="1"/>
  <c r="E2668" i="16"/>
  <c r="D2668" i="16"/>
  <c r="E2667" i="16"/>
  <c r="D2667" i="16"/>
  <c r="C2667" i="16" s="1"/>
  <c r="E2666" i="16"/>
  <c r="D2666" i="16"/>
  <c r="E2665" i="16"/>
  <c r="D2665" i="16"/>
  <c r="B2665" i="16" s="1"/>
  <c r="E2664" i="16"/>
  <c r="D2664" i="16"/>
  <c r="C2664" i="16" s="1"/>
  <c r="E2663" i="16"/>
  <c r="D2663" i="16"/>
  <c r="B2663" i="16" s="1"/>
  <c r="E2662" i="16"/>
  <c r="D2662" i="16"/>
  <c r="B2662" i="16" s="1"/>
  <c r="E2661" i="16"/>
  <c r="D2661" i="16"/>
  <c r="E2660" i="16"/>
  <c r="D2660" i="16"/>
  <c r="E2659" i="16"/>
  <c r="D2659" i="16"/>
  <c r="C2659" i="16" s="1"/>
  <c r="E2658" i="16"/>
  <c r="D2658" i="16"/>
  <c r="C2658" i="16" s="1"/>
  <c r="E2657" i="16"/>
  <c r="D2657" i="16"/>
  <c r="C2657" i="16" s="1"/>
  <c r="E2656" i="16"/>
  <c r="D2656" i="16"/>
  <c r="C2656" i="16" s="1"/>
  <c r="E2655" i="16"/>
  <c r="D2655" i="16"/>
  <c r="E2654" i="16"/>
  <c r="D2654" i="16"/>
  <c r="B2654" i="16" s="1"/>
  <c r="E2653" i="16"/>
  <c r="D2653" i="16"/>
  <c r="C2653" i="16" s="1"/>
  <c r="E2652" i="16"/>
  <c r="D2652" i="16"/>
  <c r="C2652" i="16" s="1"/>
  <c r="E2651" i="16"/>
  <c r="D2651" i="16"/>
  <c r="C2651" i="16" s="1"/>
  <c r="E2650" i="16"/>
  <c r="D2650" i="16"/>
  <c r="C2650" i="16" s="1"/>
  <c r="E2649" i="16"/>
  <c r="D2649" i="16"/>
  <c r="C2649" i="16" s="1"/>
  <c r="E2648" i="16"/>
  <c r="D2648" i="16"/>
  <c r="C2648" i="16" s="1"/>
  <c r="E2647" i="16"/>
  <c r="D2647" i="16"/>
  <c r="C2647" i="16" s="1"/>
  <c r="E2646" i="16"/>
  <c r="D2646" i="16"/>
  <c r="E2645" i="16"/>
  <c r="D2645" i="16"/>
  <c r="C2645" i="16" s="1"/>
  <c r="E2644" i="16"/>
  <c r="D2644" i="16"/>
  <c r="C2644" i="16" s="1"/>
  <c r="E2643" i="16"/>
  <c r="D2643" i="16"/>
  <c r="C2643" i="16" s="1"/>
  <c r="E2642" i="16"/>
  <c r="D2642" i="16"/>
  <c r="C2642" i="16" s="1"/>
  <c r="E2641" i="16"/>
  <c r="D2641" i="16"/>
  <c r="C2641" i="16" s="1"/>
  <c r="E2640" i="16"/>
  <c r="D2640" i="16"/>
  <c r="B2640" i="16" s="1"/>
  <c r="E2639" i="16"/>
  <c r="D2639" i="16"/>
  <c r="C2639" i="16" s="1"/>
  <c r="E2638" i="16"/>
  <c r="D2638" i="16"/>
  <c r="B2638" i="16" s="1"/>
  <c r="E2637" i="16"/>
  <c r="D2637" i="16"/>
  <c r="C2637" i="16" s="1"/>
  <c r="E2636" i="16"/>
  <c r="D2636" i="16"/>
  <c r="C2636" i="16" s="1"/>
  <c r="E2635" i="16"/>
  <c r="D2635" i="16"/>
  <c r="E2634" i="16"/>
  <c r="D2634" i="16"/>
  <c r="B2634" i="16" s="1"/>
  <c r="E2633" i="16"/>
  <c r="D2633" i="16"/>
  <c r="C2633" i="16" s="1"/>
  <c r="E2632" i="16"/>
  <c r="D2632" i="16"/>
  <c r="E2631" i="16"/>
  <c r="D2631" i="16"/>
  <c r="C2631" i="16" s="1"/>
  <c r="E2630" i="16"/>
  <c r="D2630" i="16"/>
  <c r="B2630" i="16" s="1"/>
  <c r="E2629" i="16"/>
  <c r="D2629" i="16"/>
  <c r="B2629" i="16" s="1"/>
  <c r="E2628" i="16"/>
  <c r="D2628" i="16"/>
  <c r="C2628" i="16" s="1"/>
  <c r="E2627" i="16"/>
  <c r="D2627" i="16"/>
  <c r="C2627" i="16" s="1"/>
  <c r="E2626" i="16"/>
  <c r="D2626" i="16"/>
  <c r="E2625" i="16"/>
  <c r="D2625" i="16"/>
  <c r="C2625" i="16" s="1"/>
  <c r="E2624" i="16"/>
  <c r="D2624" i="16"/>
  <c r="C2624" i="16" s="1"/>
  <c r="E2623" i="16"/>
  <c r="D2623" i="16"/>
  <c r="C2623" i="16" s="1"/>
  <c r="E2622" i="16"/>
  <c r="D2622" i="16"/>
  <c r="B2622" i="16" s="1"/>
  <c r="E2621" i="16"/>
  <c r="D2621" i="16"/>
  <c r="B2621" i="16" s="1"/>
  <c r="E2620" i="16"/>
  <c r="D2620" i="16"/>
  <c r="C2620" i="16" s="1"/>
  <c r="E2619" i="16"/>
  <c r="D2619" i="16"/>
  <c r="C2619" i="16" s="1"/>
  <c r="E2618" i="16"/>
  <c r="D2618" i="16"/>
  <c r="B2618" i="16" s="1"/>
  <c r="E2617" i="16"/>
  <c r="D2617" i="16"/>
  <c r="C2617" i="16" s="1"/>
  <c r="E2616" i="16"/>
  <c r="D2616" i="16"/>
  <c r="C2616" i="16" s="1"/>
  <c r="E2615" i="16"/>
  <c r="D2615" i="16"/>
  <c r="C2615" i="16" s="1"/>
  <c r="E2614" i="16"/>
  <c r="D2614" i="16"/>
  <c r="B2614" i="16" s="1"/>
  <c r="E2613" i="16"/>
  <c r="D2613" i="16"/>
  <c r="E2612" i="16"/>
  <c r="D2612" i="16"/>
  <c r="C2612" i="16" s="1"/>
  <c r="E2611" i="16"/>
  <c r="D2611" i="16"/>
  <c r="C2611" i="16" s="1"/>
  <c r="E2610" i="16"/>
  <c r="D2610" i="16"/>
  <c r="C2610" i="16" s="1"/>
  <c r="E2609" i="16"/>
  <c r="D2609" i="16"/>
  <c r="C2609" i="16" s="1"/>
  <c r="E2608" i="16"/>
  <c r="D2608" i="16"/>
  <c r="C2608" i="16" s="1"/>
  <c r="E2607" i="16"/>
  <c r="D2607" i="16"/>
  <c r="C2607" i="16" s="1"/>
  <c r="E2606" i="16"/>
  <c r="D2606" i="16"/>
  <c r="B2606" i="16" s="1"/>
  <c r="E2605" i="16"/>
  <c r="D2605" i="16"/>
  <c r="C2605" i="16" s="1"/>
  <c r="E2604" i="16"/>
  <c r="D2604" i="16"/>
  <c r="C2604" i="16" s="1"/>
  <c r="E2603" i="16"/>
  <c r="D2603" i="16"/>
  <c r="C2603" i="16" s="1"/>
  <c r="E2602" i="16"/>
  <c r="D2602" i="16"/>
  <c r="E2601" i="16"/>
  <c r="D2601" i="16"/>
  <c r="C2601" i="16" s="1"/>
  <c r="E2600" i="16"/>
  <c r="D2600" i="16"/>
  <c r="C2600" i="16" s="1"/>
  <c r="B2600" i="16"/>
  <c r="E2599" i="16"/>
  <c r="D2599" i="16"/>
  <c r="E2598" i="16"/>
  <c r="D2598" i="16"/>
  <c r="E2597" i="16"/>
  <c r="D2597" i="16"/>
  <c r="C2597" i="16" s="1"/>
  <c r="E2596" i="16"/>
  <c r="D2596" i="16"/>
  <c r="C2596" i="16" s="1"/>
  <c r="E2595" i="16"/>
  <c r="D2595" i="16"/>
  <c r="C2595" i="16" s="1"/>
  <c r="E2594" i="16"/>
  <c r="D2594" i="16"/>
  <c r="B2594" i="16" s="1"/>
  <c r="E2593" i="16"/>
  <c r="D2593" i="16"/>
  <c r="B2593" i="16" s="1"/>
  <c r="E2592" i="16"/>
  <c r="D2592" i="16"/>
  <c r="C2592" i="16" s="1"/>
  <c r="E2591" i="16"/>
  <c r="D2591" i="16"/>
  <c r="B2591" i="16" s="1"/>
  <c r="E2590" i="16"/>
  <c r="D2590" i="16"/>
  <c r="B2590" i="16" s="1"/>
  <c r="E2589" i="16"/>
  <c r="D2589" i="16"/>
  <c r="C2589" i="16" s="1"/>
  <c r="E2588" i="16"/>
  <c r="D2588" i="16"/>
  <c r="E2587" i="16"/>
  <c r="D2587" i="16"/>
  <c r="C2587" i="16" s="1"/>
  <c r="B2587" i="16"/>
  <c r="E2586" i="16"/>
  <c r="D2586" i="16"/>
  <c r="B2586" i="16" s="1"/>
  <c r="E2585" i="16"/>
  <c r="D2585" i="16"/>
  <c r="E2584" i="16"/>
  <c r="D2584" i="16"/>
  <c r="C2584" i="16" s="1"/>
  <c r="E2583" i="16"/>
  <c r="D2583" i="16"/>
  <c r="B2583" i="16" s="1"/>
  <c r="E2582" i="16"/>
  <c r="D2582" i="16"/>
  <c r="C2582" i="16" s="1"/>
  <c r="E2581" i="16"/>
  <c r="D2581" i="16"/>
  <c r="B2581" i="16" s="1"/>
  <c r="C2581" i="16"/>
  <c r="E2580" i="16"/>
  <c r="D2580" i="16"/>
  <c r="E2579" i="16"/>
  <c r="D2579" i="16"/>
  <c r="B2579" i="16" s="1"/>
  <c r="E2578" i="16"/>
  <c r="D2578" i="16"/>
  <c r="B2578" i="16" s="1"/>
  <c r="E2577" i="16"/>
  <c r="D2577" i="16"/>
  <c r="C2577" i="16" s="1"/>
  <c r="E2576" i="16"/>
  <c r="D2576" i="16"/>
  <c r="C2576" i="16" s="1"/>
  <c r="E2575" i="16"/>
  <c r="D2575" i="16"/>
  <c r="B2575" i="16" s="1"/>
  <c r="E2574" i="16"/>
  <c r="D2574" i="16"/>
  <c r="C2574" i="16" s="1"/>
  <c r="E2573" i="16"/>
  <c r="D2573" i="16"/>
  <c r="C2573" i="16" s="1"/>
  <c r="E2572" i="16"/>
  <c r="D2572" i="16"/>
  <c r="C2572" i="16" s="1"/>
  <c r="E2571" i="16"/>
  <c r="D2571" i="16"/>
  <c r="B2571" i="16" s="1"/>
  <c r="E2570" i="16"/>
  <c r="D2570" i="16"/>
  <c r="C2570" i="16" s="1"/>
  <c r="E2569" i="16"/>
  <c r="D2569" i="16"/>
  <c r="E2568" i="16"/>
  <c r="D2568" i="16"/>
  <c r="C2568" i="16" s="1"/>
  <c r="E2567" i="16"/>
  <c r="D2567" i="16"/>
  <c r="C2567" i="16" s="1"/>
  <c r="E2566" i="16"/>
  <c r="D2566" i="16"/>
  <c r="E2565" i="16"/>
  <c r="D2565" i="16"/>
  <c r="E2564" i="16"/>
  <c r="D2564" i="16"/>
  <c r="C2564" i="16" s="1"/>
  <c r="E2563" i="16"/>
  <c r="D2563" i="16"/>
  <c r="C2563" i="16" s="1"/>
  <c r="E2562" i="16"/>
  <c r="D2562" i="16"/>
  <c r="C2562" i="16" s="1"/>
  <c r="E2561" i="16"/>
  <c r="D2561" i="16"/>
  <c r="C2561" i="16" s="1"/>
  <c r="E2560" i="16"/>
  <c r="D2560" i="16"/>
  <c r="E2559" i="16"/>
  <c r="D2559" i="16"/>
  <c r="B2559" i="16" s="1"/>
  <c r="E2558" i="16"/>
  <c r="D2558" i="16"/>
  <c r="B2558" i="16" s="1"/>
  <c r="E2557" i="16"/>
  <c r="D2557" i="16"/>
  <c r="B2557" i="16" s="1"/>
  <c r="E2556" i="16"/>
  <c r="D2556" i="16"/>
  <c r="C2556" i="16" s="1"/>
  <c r="E2555" i="16"/>
  <c r="D2555" i="16"/>
  <c r="E2554" i="16"/>
  <c r="D2554" i="16"/>
  <c r="B2554" i="16" s="1"/>
  <c r="E2553" i="16"/>
  <c r="D2553" i="16"/>
  <c r="C2553" i="16" s="1"/>
  <c r="E2552" i="16"/>
  <c r="D2552" i="16"/>
  <c r="E2551" i="16"/>
  <c r="D2551" i="16"/>
  <c r="E2550" i="16"/>
  <c r="D2550" i="16"/>
  <c r="B2550" i="16" s="1"/>
  <c r="E2549" i="16"/>
  <c r="D2549" i="16"/>
  <c r="B2549" i="16" s="1"/>
  <c r="C2549" i="16"/>
  <c r="E2548" i="16"/>
  <c r="D2548" i="16"/>
  <c r="E2547" i="16"/>
  <c r="D2547" i="16"/>
  <c r="B2547" i="16" s="1"/>
  <c r="E2546" i="16"/>
  <c r="D2546" i="16"/>
  <c r="C2546" i="16" s="1"/>
  <c r="E2545" i="16"/>
  <c r="D2545" i="16"/>
  <c r="C2545" i="16" s="1"/>
  <c r="E2544" i="16"/>
  <c r="D2544" i="16"/>
  <c r="C2544" i="16" s="1"/>
  <c r="E2543" i="16"/>
  <c r="D2543" i="16"/>
  <c r="E2542" i="16"/>
  <c r="D2542" i="16"/>
  <c r="B2542" i="16" s="1"/>
  <c r="E2541" i="16"/>
  <c r="D2541" i="16"/>
  <c r="B2541" i="16" s="1"/>
  <c r="E2540" i="16"/>
  <c r="D2540" i="16"/>
  <c r="E2539" i="16"/>
  <c r="D2539" i="16"/>
  <c r="B2539" i="16" s="1"/>
  <c r="E2538" i="16"/>
  <c r="D2538" i="16"/>
  <c r="B2538" i="16" s="1"/>
  <c r="E2537" i="16"/>
  <c r="D2537" i="16"/>
  <c r="C2537" i="16" s="1"/>
  <c r="E2536" i="16"/>
  <c r="D2536" i="16"/>
  <c r="C2536" i="16" s="1"/>
  <c r="E2535" i="16"/>
  <c r="D2535" i="16"/>
  <c r="E2534" i="16"/>
  <c r="D2534" i="16"/>
  <c r="B2534" i="16" s="1"/>
  <c r="E2533" i="16"/>
  <c r="D2533" i="16"/>
  <c r="E2532" i="16"/>
  <c r="D2532" i="16"/>
  <c r="C2532" i="16" s="1"/>
  <c r="E2531" i="16"/>
  <c r="D2531" i="16"/>
  <c r="B2531" i="16" s="1"/>
  <c r="E2530" i="16"/>
  <c r="D2530" i="16"/>
  <c r="C2530" i="16" s="1"/>
  <c r="E2529" i="16"/>
  <c r="D2529" i="16"/>
  <c r="E2528" i="16"/>
  <c r="D2528" i="16"/>
  <c r="E2527" i="16"/>
  <c r="D2527" i="16"/>
  <c r="C2527" i="16" s="1"/>
  <c r="B2527" i="16"/>
  <c r="E2526" i="16"/>
  <c r="D2526" i="16"/>
  <c r="B2526" i="16" s="1"/>
  <c r="E2525" i="16"/>
  <c r="D2525" i="16"/>
  <c r="C2525" i="16" s="1"/>
  <c r="E2524" i="16"/>
  <c r="D2524" i="16"/>
  <c r="B2524" i="16" s="1"/>
  <c r="E2523" i="16"/>
  <c r="D2523" i="16"/>
  <c r="C2523" i="16" s="1"/>
  <c r="E2522" i="16"/>
  <c r="D2522" i="16"/>
  <c r="E2521" i="16"/>
  <c r="D2521" i="16"/>
  <c r="C2521" i="16" s="1"/>
  <c r="E2520" i="16"/>
  <c r="D2520" i="16"/>
  <c r="C2520" i="16" s="1"/>
  <c r="E2519" i="16"/>
  <c r="D2519" i="16"/>
  <c r="E2518" i="16"/>
  <c r="D2518" i="16"/>
  <c r="B2518" i="16" s="1"/>
  <c r="E2517" i="16"/>
  <c r="D2517" i="16"/>
  <c r="E2516" i="16"/>
  <c r="D2516" i="16"/>
  <c r="C2516" i="16" s="1"/>
  <c r="E2515" i="16"/>
  <c r="D2515" i="16"/>
  <c r="E2514" i="16"/>
  <c r="D2514" i="16"/>
  <c r="B2514" i="16" s="1"/>
  <c r="E2513" i="16"/>
  <c r="D2513" i="16"/>
  <c r="C2513" i="16" s="1"/>
  <c r="E2512" i="16"/>
  <c r="D2512" i="16"/>
  <c r="C2512" i="16" s="1"/>
  <c r="E2511" i="16"/>
  <c r="D2511" i="16"/>
  <c r="E2510" i="16"/>
  <c r="D2510" i="16"/>
  <c r="E2509" i="16"/>
  <c r="D2509" i="16"/>
  <c r="C2509" i="16" s="1"/>
  <c r="E2508" i="16"/>
  <c r="D2508" i="16"/>
  <c r="E2507" i="16"/>
  <c r="D2507" i="16"/>
  <c r="C2507" i="16" s="1"/>
  <c r="E2506" i="16"/>
  <c r="D2506" i="16"/>
  <c r="B2506" i="16" s="1"/>
  <c r="E2505" i="16"/>
  <c r="D2505" i="16"/>
  <c r="C2505" i="16" s="1"/>
  <c r="E2504" i="16"/>
  <c r="D2504" i="16"/>
  <c r="E2503" i="16"/>
  <c r="D2503" i="16"/>
  <c r="E2502" i="16"/>
  <c r="D2502" i="16"/>
  <c r="C2502" i="16" s="1"/>
  <c r="E2501" i="16"/>
  <c r="D2501" i="16"/>
  <c r="C2501" i="16" s="1"/>
  <c r="E2500" i="16"/>
  <c r="D2500" i="16"/>
  <c r="C2500" i="16" s="1"/>
  <c r="E2499" i="16"/>
  <c r="D2499" i="16"/>
  <c r="E2498" i="16"/>
  <c r="D2498" i="16"/>
  <c r="B2498" i="16" s="1"/>
  <c r="E2497" i="16"/>
  <c r="D2497" i="16"/>
  <c r="E2496" i="16"/>
  <c r="D2496" i="16"/>
  <c r="E2495" i="16"/>
  <c r="D2495" i="16"/>
  <c r="B2495" i="16" s="1"/>
  <c r="E2494" i="16"/>
  <c r="D2494" i="16"/>
  <c r="E2493" i="16"/>
  <c r="D2493" i="16"/>
  <c r="C2493" i="16" s="1"/>
  <c r="E2492" i="16"/>
  <c r="D2492" i="16"/>
  <c r="B2492" i="16" s="1"/>
  <c r="E2491" i="16"/>
  <c r="D2491" i="16"/>
  <c r="B2491" i="16" s="1"/>
  <c r="E2490" i="16"/>
  <c r="D2490" i="16"/>
  <c r="C2490" i="16" s="1"/>
  <c r="E2489" i="16"/>
  <c r="D2489" i="16"/>
  <c r="E2488" i="16"/>
  <c r="D2488" i="16"/>
  <c r="B2488" i="16" s="1"/>
  <c r="E2487" i="16"/>
  <c r="D2487" i="16"/>
  <c r="C2487" i="16" s="1"/>
  <c r="E2486" i="16"/>
  <c r="D2486" i="16"/>
  <c r="E2485" i="16"/>
  <c r="D2485" i="16"/>
  <c r="E2484" i="16"/>
  <c r="D2484" i="16"/>
  <c r="C2484" i="16" s="1"/>
  <c r="E2483" i="16"/>
  <c r="D2483" i="16"/>
  <c r="E2482" i="16"/>
  <c r="D2482" i="16"/>
  <c r="E2481" i="16"/>
  <c r="D2481" i="16"/>
  <c r="E2480" i="16"/>
  <c r="D2480" i="16"/>
  <c r="E2479" i="16"/>
  <c r="D2479" i="16"/>
  <c r="B2479" i="16" s="1"/>
  <c r="E2478" i="16"/>
  <c r="D2478" i="16"/>
  <c r="E2477" i="16"/>
  <c r="D2477" i="16"/>
  <c r="B2477" i="16" s="1"/>
  <c r="E2476" i="16"/>
  <c r="D2476" i="16"/>
  <c r="B2476" i="16" s="1"/>
  <c r="E2475" i="16"/>
  <c r="D2475" i="16"/>
  <c r="E2474" i="16"/>
  <c r="D2474" i="16"/>
  <c r="B2474" i="16" s="1"/>
  <c r="E2473" i="16"/>
  <c r="D2473" i="16"/>
  <c r="B2473" i="16" s="1"/>
  <c r="E2472" i="16"/>
  <c r="D2472" i="16"/>
  <c r="E2471" i="16"/>
  <c r="D2471" i="16"/>
  <c r="C2471" i="16" s="1"/>
  <c r="E2470" i="16"/>
  <c r="D2470" i="16"/>
  <c r="C2470" i="16" s="1"/>
  <c r="E2469" i="16"/>
  <c r="D2469" i="16"/>
  <c r="B2469" i="16" s="1"/>
  <c r="E2468" i="16"/>
  <c r="D2468" i="16"/>
  <c r="B2468" i="16" s="1"/>
  <c r="E2467" i="16"/>
  <c r="D2467" i="16"/>
  <c r="E2466" i="16"/>
  <c r="D2466" i="16"/>
  <c r="C2466" i="16" s="1"/>
  <c r="E2465" i="16"/>
  <c r="D2465" i="16"/>
  <c r="C2465" i="16" s="1"/>
  <c r="E2464" i="16"/>
  <c r="D2464" i="16"/>
  <c r="E2463" i="16"/>
  <c r="D2463" i="16"/>
  <c r="B2463" i="16" s="1"/>
  <c r="E2462" i="16"/>
  <c r="D2462" i="16"/>
  <c r="E2461" i="16"/>
  <c r="D2461" i="16"/>
  <c r="B2461" i="16" s="1"/>
  <c r="E2460" i="16"/>
  <c r="D2460" i="16"/>
  <c r="C2460" i="16" s="1"/>
  <c r="B2460" i="16"/>
  <c r="E2459" i="16"/>
  <c r="D2459" i="16"/>
  <c r="C2459" i="16" s="1"/>
  <c r="E2458" i="16"/>
  <c r="D2458" i="16"/>
  <c r="E2457" i="16"/>
  <c r="D2457" i="16"/>
  <c r="E2456" i="16"/>
  <c r="D2456" i="16"/>
  <c r="C2456" i="16" s="1"/>
  <c r="E2455" i="16"/>
  <c r="D2455" i="16"/>
  <c r="E2454" i="16"/>
  <c r="D2454" i="16"/>
  <c r="E2453" i="16"/>
  <c r="D2453" i="16"/>
  <c r="C2453" i="16" s="1"/>
  <c r="E2452" i="16"/>
  <c r="D2452" i="16"/>
  <c r="E2451" i="16"/>
  <c r="D2451" i="16"/>
  <c r="C2451" i="16" s="1"/>
  <c r="E2450" i="16"/>
  <c r="D2450" i="16"/>
  <c r="C2450" i="16" s="1"/>
  <c r="E2449" i="16"/>
  <c r="D2449" i="16"/>
  <c r="E2448" i="16"/>
  <c r="D2448" i="16"/>
  <c r="E2447" i="16"/>
  <c r="D2447" i="16"/>
  <c r="B2447" i="16"/>
  <c r="E2446" i="16"/>
  <c r="D2446" i="16"/>
  <c r="E2445" i="16"/>
  <c r="D2445" i="16"/>
  <c r="C2445" i="16" s="1"/>
  <c r="E2444" i="16"/>
  <c r="D2444" i="16"/>
  <c r="C2444" i="16" s="1"/>
  <c r="E2443" i="16"/>
  <c r="D2443" i="16"/>
  <c r="B2443" i="16" s="1"/>
  <c r="E2442" i="16"/>
  <c r="D2442" i="16"/>
  <c r="C2442" i="16" s="1"/>
  <c r="E2441" i="16"/>
  <c r="D2441" i="16"/>
  <c r="B2441" i="16" s="1"/>
  <c r="E2440" i="16"/>
  <c r="D2440" i="16"/>
  <c r="C2440" i="16" s="1"/>
  <c r="E2439" i="16"/>
  <c r="D2439" i="16"/>
  <c r="B2439" i="16" s="1"/>
  <c r="E2438" i="16"/>
  <c r="D2438" i="16"/>
  <c r="C2438" i="16" s="1"/>
  <c r="E2437" i="16"/>
  <c r="D2437" i="16"/>
  <c r="C2437" i="16" s="1"/>
  <c r="E2436" i="16"/>
  <c r="D2436" i="16"/>
  <c r="B2436" i="16" s="1"/>
  <c r="E2435" i="16"/>
  <c r="D2435" i="16"/>
  <c r="B2435" i="16" s="1"/>
  <c r="E2434" i="16"/>
  <c r="D2434" i="16"/>
  <c r="C2434" i="16" s="1"/>
  <c r="E2433" i="16"/>
  <c r="D2433" i="16"/>
  <c r="E2432" i="16"/>
  <c r="D2432" i="16"/>
  <c r="B2432" i="16" s="1"/>
  <c r="E2431" i="16"/>
  <c r="D2431" i="16"/>
  <c r="C2431" i="16" s="1"/>
  <c r="E2430" i="16"/>
  <c r="D2430" i="16"/>
  <c r="E2429" i="16"/>
  <c r="D2429" i="16"/>
  <c r="C2429" i="16" s="1"/>
  <c r="E2428" i="16"/>
  <c r="D2428" i="16"/>
  <c r="B2428" i="16" s="1"/>
  <c r="E2427" i="16"/>
  <c r="D2427" i="16"/>
  <c r="C2427" i="16" s="1"/>
  <c r="E2426" i="16"/>
  <c r="D2426" i="16"/>
  <c r="E2425" i="16"/>
  <c r="D2425" i="16"/>
  <c r="E2424" i="16"/>
  <c r="D2424" i="16"/>
  <c r="C2424" i="16" s="1"/>
  <c r="E2423" i="16"/>
  <c r="D2423" i="16"/>
  <c r="B2423" i="16" s="1"/>
  <c r="E2422" i="16"/>
  <c r="D2422" i="16"/>
  <c r="E2421" i="16"/>
  <c r="D2421" i="16"/>
  <c r="E2420" i="16"/>
  <c r="D2420" i="16"/>
  <c r="B2420" i="16" s="1"/>
  <c r="E2419" i="16"/>
  <c r="D2419" i="16"/>
  <c r="E2418" i="16"/>
  <c r="D2418" i="16"/>
  <c r="C2418" i="16" s="1"/>
  <c r="E2417" i="16"/>
  <c r="D2417" i="16"/>
  <c r="B2417" i="16" s="1"/>
  <c r="E2416" i="16"/>
  <c r="D2416" i="16"/>
  <c r="C2416" i="16" s="1"/>
  <c r="E2415" i="16"/>
  <c r="D2415" i="16"/>
  <c r="B2415" i="16" s="1"/>
  <c r="E2414" i="16"/>
  <c r="D2414" i="16"/>
  <c r="C2414" i="16" s="1"/>
  <c r="E2413" i="16"/>
  <c r="D2413" i="16"/>
  <c r="C2413" i="16" s="1"/>
  <c r="E2412" i="16"/>
  <c r="D2412" i="16"/>
  <c r="C2412" i="16" s="1"/>
  <c r="E2411" i="16"/>
  <c r="D2411" i="16"/>
  <c r="B2411" i="16" s="1"/>
  <c r="E2410" i="16"/>
  <c r="D2410" i="16"/>
  <c r="C2410" i="16" s="1"/>
  <c r="B2410" i="16"/>
  <c r="E2409" i="16"/>
  <c r="D2409" i="16"/>
  <c r="E2408" i="16"/>
  <c r="D2408" i="16"/>
  <c r="C2408" i="16" s="1"/>
  <c r="E2407" i="16"/>
  <c r="D2407" i="16"/>
  <c r="C2407" i="16" s="1"/>
  <c r="B2407" i="16"/>
  <c r="E2406" i="16"/>
  <c r="D2406" i="16"/>
  <c r="C2406" i="16" s="1"/>
  <c r="E2405" i="16"/>
  <c r="D2405" i="16"/>
  <c r="C2405" i="16" s="1"/>
  <c r="E2404" i="16"/>
  <c r="D2404" i="16"/>
  <c r="E2403" i="16"/>
  <c r="D2403" i="16"/>
  <c r="C2403" i="16" s="1"/>
  <c r="E2402" i="16"/>
  <c r="D2402" i="16"/>
  <c r="B2402" i="16" s="1"/>
  <c r="E2401" i="16"/>
  <c r="D2401" i="16"/>
  <c r="B2401" i="16" s="1"/>
  <c r="E2400" i="16"/>
  <c r="D2400" i="16"/>
  <c r="C2400" i="16" s="1"/>
  <c r="E2399" i="16"/>
  <c r="D2399" i="16"/>
  <c r="C2399" i="16" s="1"/>
  <c r="E2398" i="16"/>
  <c r="D2398" i="16"/>
  <c r="B2398" i="16" s="1"/>
  <c r="E2397" i="16"/>
  <c r="D2397" i="16"/>
  <c r="B2397" i="16" s="1"/>
  <c r="E2396" i="16"/>
  <c r="D2396" i="16"/>
  <c r="C2396" i="16" s="1"/>
  <c r="E2395" i="16"/>
  <c r="D2395" i="16"/>
  <c r="E2394" i="16"/>
  <c r="D2394" i="16"/>
  <c r="C2394" i="16" s="1"/>
  <c r="E2393" i="16"/>
  <c r="D2393" i="16"/>
  <c r="E2392" i="16"/>
  <c r="D2392" i="16"/>
  <c r="C2392" i="16" s="1"/>
  <c r="E2391" i="16"/>
  <c r="D2391" i="16"/>
  <c r="B2391" i="16" s="1"/>
  <c r="E2390" i="16"/>
  <c r="D2390" i="16"/>
  <c r="B2390" i="16" s="1"/>
  <c r="E2389" i="16"/>
  <c r="D2389" i="16"/>
  <c r="E2388" i="16"/>
  <c r="D2388" i="16"/>
  <c r="C2388" i="16" s="1"/>
  <c r="E2387" i="16"/>
  <c r="D2387" i="16"/>
  <c r="C2387" i="16" s="1"/>
  <c r="E2386" i="16"/>
  <c r="D2386" i="16"/>
  <c r="C2386" i="16" s="1"/>
  <c r="E2385" i="16"/>
  <c r="D2385" i="16"/>
  <c r="C2385" i="16" s="1"/>
  <c r="E2384" i="16"/>
  <c r="D2384" i="16"/>
  <c r="B2384" i="16" s="1"/>
  <c r="E2383" i="16"/>
  <c r="D2383" i="16"/>
  <c r="B2383" i="16" s="1"/>
  <c r="E2382" i="16"/>
  <c r="D2382" i="16"/>
  <c r="C2382" i="16" s="1"/>
  <c r="E2381" i="16"/>
  <c r="D2381" i="16"/>
  <c r="C2381" i="16" s="1"/>
  <c r="E2380" i="16"/>
  <c r="D2380" i="16"/>
  <c r="C2380" i="16"/>
  <c r="B2380" i="16"/>
  <c r="E2379" i="16"/>
  <c r="D2379" i="16"/>
  <c r="C2379" i="16" s="1"/>
  <c r="E2378" i="16"/>
  <c r="D2378" i="16"/>
  <c r="C2378" i="16" s="1"/>
  <c r="E2377" i="16"/>
  <c r="D2377" i="16"/>
  <c r="E2376" i="16"/>
  <c r="D2376" i="16"/>
  <c r="E2375" i="16"/>
  <c r="D2375" i="16"/>
  <c r="C2375" i="16" s="1"/>
  <c r="E2374" i="16"/>
  <c r="D2374" i="16"/>
  <c r="E2373" i="16"/>
  <c r="D2373" i="16"/>
  <c r="E2372" i="16"/>
  <c r="D2372" i="16"/>
  <c r="E2371" i="16"/>
  <c r="D2371" i="16"/>
  <c r="E2370" i="16"/>
  <c r="D2370" i="16"/>
  <c r="E2369" i="16"/>
  <c r="D2369" i="16"/>
  <c r="B2369" i="16" s="1"/>
  <c r="E2368" i="16"/>
  <c r="D2368" i="16"/>
  <c r="C2368" i="16" s="1"/>
  <c r="E2367" i="16"/>
  <c r="D2367" i="16"/>
  <c r="C2367" i="16" s="1"/>
  <c r="E2366" i="16"/>
  <c r="D2366" i="16"/>
  <c r="E2365" i="16"/>
  <c r="D2365" i="16"/>
  <c r="C2365" i="16" s="1"/>
  <c r="E2364" i="16"/>
  <c r="D2364" i="16"/>
  <c r="C2364" i="16" s="1"/>
  <c r="E2363" i="16"/>
  <c r="D2363" i="16"/>
  <c r="C2363" i="16" s="1"/>
  <c r="E2362" i="16"/>
  <c r="D2362" i="16"/>
  <c r="B2362" i="16" s="1"/>
  <c r="E2361" i="16"/>
  <c r="D2361" i="16"/>
  <c r="C2361" i="16" s="1"/>
  <c r="E2360" i="16"/>
  <c r="D2360" i="16"/>
  <c r="B2360" i="16" s="1"/>
  <c r="E2359" i="16"/>
  <c r="D2359" i="16"/>
  <c r="C2359" i="16" s="1"/>
  <c r="E2358" i="16"/>
  <c r="D2358" i="16"/>
  <c r="C2358" i="16" s="1"/>
  <c r="E2357" i="16"/>
  <c r="D2357" i="16"/>
  <c r="E2356" i="16"/>
  <c r="D2356" i="16"/>
  <c r="E2355" i="16"/>
  <c r="D2355" i="16"/>
  <c r="E2354" i="16"/>
  <c r="D2354" i="16"/>
  <c r="C2354" i="16" s="1"/>
  <c r="E2353" i="16"/>
  <c r="D2353" i="16"/>
  <c r="E2352" i="16"/>
  <c r="D2352" i="16"/>
  <c r="B2352" i="16" s="1"/>
  <c r="E2351" i="16"/>
  <c r="D2351" i="16"/>
  <c r="E2350" i="16"/>
  <c r="D2350" i="16"/>
  <c r="E2349" i="16"/>
  <c r="D2349" i="16"/>
  <c r="B2349" i="16" s="1"/>
  <c r="E2348" i="16"/>
  <c r="D2348" i="16"/>
  <c r="C2348" i="16" s="1"/>
  <c r="E2347" i="16"/>
  <c r="D2347" i="16"/>
  <c r="C2347" i="16" s="1"/>
  <c r="E2346" i="16"/>
  <c r="D2346" i="16"/>
  <c r="C2346" i="16" s="1"/>
  <c r="E2345" i="16"/>
  <c r="D2345" i="16"/>
  <c r="C2345" i="16" s="1"/>
  <c r="E2344" i="16"/>
  <c r="D2344" i="16"/>
  <c r="B2344" i="16" s="1"/>
  <c r="E2343" i="16"/>
  <c r="D2343" i="16"/>
  <c r="C2343" i="16" s="1"/>
  <c r="E2342" i="16"/>
  <c r="D2342" i="16"/>
  <c r="C2342" i="16" s="1"/>
  <c r="E2341" i="16"/>
  <c r="D2341" i="16"/>
  <c r="E2340" i="16"/>
  <c r="D2340" i="16"/>
  <c r="B2340" i="16" s="1"/>
  <c r="E2339" i="16"/>
  <c r="D2339" i="16"/>
  <c r="B2339" i="16" s="1"/>
  <c r="E2338" i="16"/>
  <c r="D2338" i="16"/>
  <c r="C2338" i="16" s="1"/>
  <c r="E2337" i="16"/>
  <c r="D2337" i="16"/>
  <c r="B2337" i="16" s="1"/>
  <c r="E2336" i="16"/>
  <c r="D2336" i="16"/>
  <c r="C2336" i="16" s="1"/>
  <c r="E2335" i="16"/>
  <c r="D2335" i="16"/>
  <c r="C2335" i="16" s="1"/>
  <c r="E2334" i="16"/>
  <c r="D2334" i="16"/>
  <c r="E2333" i="16"/>
  <c r="D2333" i="16"/>
  <c r="C2333" i="16" s="1"/>
  <c r="E2332" i="16"/>
  <c r="D2332" i="16"/>
  <c r="E2331" i="16"/>
  <c r="D2331" i="16"/>
  <c r="B2331" i="16" s="1"/>
  <c r="E2330" i="16"/>
  <c r="D2330" i="16"/>
  <c r="E2329" i="16"/>
  <c r="D2329" i="16"/>
  <c r="C2329" i="16" s="1"/>
  <c r="E2328" i="16"/>
  <c r="D2328" i="16"/>
  <c r="B2328" i="16" s="1"/>
  <c r="C2328" i="16"/>
  <c r="E2327" i="16"/>
  <c r="D2327" i="16"/>
  <c r="B2327" i="16" s="1"/>
  <c r="E2326" i="16"/>
  <c r="D2326" i="16"/>
  <c r="E2325" i="16"/>
  <c r="D2325" i="16"/>
  <c r="C2325" i="16" s="1"/>
  <c r="E2324" i="16"/>
  <c r="D2324" i="16"/>
  <c r="C2324" i="16" s="1"/>
  <c r="E2323" i="16"/>
  <c r="D2323" i="16"/>
  <c r="C2323" i="16" s="1"/>
  <c r="E2322" i="16"/>
  <c r="D2322" i="16"/>
  <c r="E2321" i="16"/>
  <c r="D2321" i="16"/>
  <c r="C2321" i="16" s="1"/>
  <c r="B2321" i="16"/>
  <c r="E2320" i="16"/>
  <c r="D2320" i="16"/>
  <c r="C2320" i="16" s="1"/>
  <c r="E2319" i="16"/>
  <c r="D2319" i="16"/>
  <c r="C2319" i="16" s="1"/>
  <c r="E2318" i="16"/>
  <c r="D2318" i="16"/>
  <c r="B2318" i="16" s="1"/>
  <c r="E2317" i="16"/>
  <c r="D2317" i="16"/>
  <c r="C2317" i="16" s="1"/>
  <c r="B2317" i="16"/>
  <c r="E2316" i="16"/>
  <c r="D2316" i="16"/>
  <c r="B2316" i="16" s="1"/>
  <c r="E2315" i="16"/>
  <c r="D2315" i="16"/>
  <c r="C2315" i="16" s="1"/>
  <c r="E2314" i="16"/>
  <c r="D2314" i="16"/>
  <c r="C2314" i="16" s="1"/>
  <c r="E2313" i="16"/>
  <c r="D2313" i="16"/>
  <c r="E2312" i="16"/>
  <c r="D2312" i="16"/>
  <c r="B2312" i="16" s="1"/>
  <c r="E2311" i="16"/>
  <c r="D2311" i="16"/>
  <c r="C2311" i="16" s="1"/>
  <c r="E2310" i="16"/>
  <c r="D2310" i="16"/>
  <c r="C2310" i="16" s="1"/>
  <c r="E2309" i="16"/>
  <c r="D2309" i="16"/>
  <c r="E2308" i="16"/>
  <c r="D2308" i="16"/>
  <c r="C2308" i="16" s="1"/>
  <c r="E2307" i="16"/>
  <c r="D2307" i="16"/>
  <c r="E2306" i="16"/>
  <c r="D2306" i="16"/>
  <c r="C2306" i="16" s="1"/>
  <c r="E2305" i="16"/>
  <c r="D2305" i="16"/>
  <c r="C2305" i="16" s="1"/>
  <c r="E2304" i="16"/>
  <c r="D2304" i="16"/>
  <c r="C2304" i="16" s="1"/>
  <c r="E2303" i="16"/>
  <c r="D2303" i="16"/>
  <c r="C2303" i="16" s="1"/>
  <c r="E2302" i="16"/>
  <c r="D2302" i="16"/>
  <c r="C2302" i="16" s="1"/>
  <c r="E2301" i="16"/>
  <c r="D2301" i="16"/>
  <c r="C2301" i="16" s="1"/>
  <c r="E2300" i="16"/>
  <c r="D2300" i="16"/>
  <c r="C2300" i="16" s="1"/>
  <c r="E2299" i="16"/>
  <c r="D2299" i="16"/>
  <c r="E2298" i="16"/>
  <c r="D2298" i="16"/>
  <c r="E2297" i="16"/>
  <c r="D2297" i="16"/>
  <c r="E2296" i="16"/>
  <c r="D2296" i="16"/>
  <c r="C2296" i="16" s="1"/>
  <c r="E2295" i="16"/>
  <c r="D2295" i="16"/>
  <c r="C2295" i="16" s="1"/>
  <c r="E2294" i="16"/>
  <c r="D2294" i="16"/>
  <c r="C2294" i="16" s="1"/>
  <c r="E2293" i="16"/>
  <c r="D2293" i="16"/>
  <c r="E2292" i="16"/>
  <c r="D2292" i="16"/>
  <c r="C2292" i="16" s="1"/>
  <c r="E2291" i="16"/>
  <c r="D2291" i="16"/>
  <c r="E2290" i="16"/>
  <c r="D2290" i="16"/>
  <c r="B2290" i="16" s="1"/>
  <c r="E2289" i="16"/>
  <c r="D2289" i="16"/>
  <c r="C2289" i="16" s="1"/>
  <c r="E2288" i="16"/>
  <c r="D2288" i="16"/>
  <c r="B2288" i="16" s="1"/>
  <c r="E2287" i="16"/>
  <c r="D2287" i="16"/>
  <c r="C2287" i="16" s="1"/>
  <c r="E2286" i="16"/>
  <c r="D2286" i="16"/>
  <c r="E2285" i="16"/>
  <c r="D2285" i="16"/>
  <c r="E2284" i="16"/>
  <c r="D2284" i="16"/>
  <c r="B2284" i="16" s="1"/>
  <c r="E2283" i="16"/>
  <c r="D2283" i="16"/>
  <c r="B2283" i="16" s="1"/>
  <c r="C2283" i="16"/>
  <c r="E2282" i="16"/>
  <c r="D2282" i="16"/>
  <c r="B2282" i="16" s="1"/>
  <c r="E2281" i="16"/>
  <c r="D2281" i="16"/>
  <c r="E2280" i="16"/>
  <c r="D2280" i="16"/>
  <c r="E2279" i="16"/>
  <c r="D2279" i="16"/>
  <c r="C2279" i="16" s="1"/>
  <c r="E2278" i="16"/>
  <c r="D2278" i="16"/>
  <c r="C2278" i="16" s="1"/>
  <c r="B2278" i="16"/>
  <c r="E2277" i="16"/>
  <c r="D2277" i="16"/>
  <c r="C2277" i="16" s="1"/>
  <c r="E2276" i="16"/>
  <c r="D2276" i="16"/>
  <c r="E2275" i="16"/>
  <c r="D2275" i="16"/>
  <c r="C2275" i="16" s="1"/>
  <c r="E2274" i="16"/>
  <c r="D2274" i="16"/>
  <c r="C2274" i="16" s="1"/>
  <c r="E2273" i="16"/>
  <c r="D2273" i="16"/>
  <c r="C2273" i="16" s="1"/>
  <c r="E2272" i="16"/>
  <c r="D2272" i="16"/>
  <c r="E2271" i="16"/>
  <c r="D2271" i="16"/>
  <c r="C2271" i="16" s="1"/>
  <c r="E2270" i="16"/>
  <c r="D2270" i="16"/>
  <c r="B2270" i="16" s="1"/>
  <c r="E2269" i="16"/>
  <c r="D2269" i="16"/>
  <c r="E2268" i="16"/>
  <c r="D2268" i="16"/>
  <c r="E2267" i="16"/>
  <c r="D2267" i="16"/>
  <c r="E2266" i="16"/>
  <c r="D2266" i="16"/>
  <c r="C2266" i="16" s="1"/>
  <c r="E2265" i="16"/>
  <c r="D2265" i="16"/>
  <c r="C2265" i="16" s="1"/>
  <c r="B2265" i="16"/>
  <c r="E2264" i="16"/>
  <c r="D2264" i="16"/>
  <c r="B2264" i="16" s="1"/>
  <c r="E2263" i="16"/>
  <c r="D2263" i="16"/>
  <c r="C2263" i="16" s="1"/>
  <c r="E2262" i="16"/>
  <c r="D2262" i="16"/>
  <c r="B2262" i="16" s="1"/>
  <c r="E2261" i="16"/>
  <c r="D2261" i="16"/>
  <c r="B2261" i="16" s="1"/>
  <c r="E2260" i="16"/>
  <c r="D2260" i="16"/>
  <c r="C2260" i="16" s="1"/>
  <c r="E2259" i="16"/>
  <c r="D2259" i="16"/>
  <c r="E2258" i="16"/>
  <c r="D2258" i="16"/>
  <c r="C2258" i="16" s="1"/>
  <c r="E2257" i="16"/>
  <c r="D2257" i="16"/>
  <c r="B2257" i="16" s="1"/>
  <c r="E2256" i="16"/>
  <c r="D2256" i="16"/>
  <c r="C2256" i="16" s="1"/>
  <c r="E2255" i="16"/>
  <c r="D2255" i="16"/>
  <c r="E2254" i="16"/>
  <c r="D2254" i="16"/>
  <c r="C2254" i="16" s="1"/>
  <c r="E2253" i="16"/>
  <c r="D2253" i="16"/>
  <c r="C2253" i="16" s="1"/>
  <c r="E2252" i="16"/>
  <c r="D2252" i="16"/>
  <c r="C2252" i="16" s="1"/>
  <c r="E2251" i="16"/>
  <c r="D2251" i="16"/>
  <c r="B2251" i="16" s="1"/>
  <c r="E2250" i="16"/>
  <c r="D2250" i="16"/>
  <c r="E2249" i="16"/>
  <c r="D2249" i="16"/>
  <c r="B2249" i="16" s="1"/>
  <c r="E2248" i="16"/>
  <c r="D2248" i="16"/>
  <c r="B2248" i="16" s="1"/>
  <c r="E2247" i="16"/>
  <c r="D2247" i="16"/>
  <c r="E2246" i="16"/>
  <c r="D2246" i="16"/>
  <c r="E2245" i="16"/>
  <c r="D2245" i="16"/>
  <c r="C2245" i="16" s="1"/>
  <c r="E2244" i="16"/>
  <c r="D2244" i="16"/>
  <c r="C2244" i="16" s="1"/>
  <c r="E2243" i="16"/>
  <c r="D2243" i="16"/>
  <c r="C2243" i="16" s="1"/>
  <c r="E2242" i="16"/>
  <c r="D2242" i="16"/>
  <c r="B2242" i="16" s="1"/>
  <c r="E2241" i="16"/>
  <c r="D2241" i="16"/>
  <c r="C2241" i="16" s="1"/>
  <c r="E2240" i="16"/>
  <c r="D2240" i="16"/>
  <c r="B2240" i="16" s="1"/>
  <c r="E2239" i="16"/>
  <c r="D2239" i="16"/>
  <c r="C2239" i="16" s="1"/>
  <c r="B2239" i="16"/>
  <c r="E2238" i="16"/>
  <c r="D2238" i="16"/>
  <c r="C2238" i="16" s="1"/>
  <c r="E2237" i="16"/>
  <c r="D2237" i="16"/>
  <c r="E2236" i="16"/>
  <c r="D2236" i="16"/>
  <c r="C2236" i="16" s="1"/>
  <c r="E2235" i="16"/>
  <c r="D2235" i="16"/>
  <c r="E2234" i="16"/>
  <c r="D2234" i="16"/>
  <c r="C2234" i="16" s="1"/>
  <c r="E2233" i="16"/>
  <c r="D2233" i="16"/>
  <c r="C2233" i="16" s="1"/>
  <c r="E2232" i="16"/>
  <c r="D2232" i="16"/>
  <c r="B2232" i="16" s="1"/>
  <c r="E2231" i="16"/>
  <c r="D2231" i="16"/>
  <c r="B2231" i="16" s="1"/>
  <c r="E2230" i="16"/>
  <c r="D2230" i="16"/>
  <c r="C2230" i="16" s="1"/>
  <c r="E2229" i="16"/>
  <c r="D2229" i="16"/>
  <c r="E2228" i="16"/>
  <c r="D2228" i="16"/>
  <c r="B2228" i="16" s="1"/>
  <c r="E2227" i="16"/>
  <c r="D2227" i="16"/>
  <c r="C2227" i="16" s="1"/>
  <c r="E2226" i="16"/>
  <c r="D2226" i="16"/>
  <c r="C2226" i="16" s="1"/>
  <c r="E2225" i="16"/>
  <c r="D2225" i="16"/>
  <c r="E2224" i="16"/>
  <c r="D2224" i="16"/>
  <c r="C2224" i="16" s="1"/>
  <c r="E2223" i="16"/>
  <c r="D2223" i="16"/>
  <c r="C2223" i="16" s="1"/>
  <c r="E2222" i="16"/>
  <c r="D2222" i="16"/>
  <c r="E2221" i="16"/>
  <c r="D2221" i="16"/>
  <c r="B2221" i="16" s="1"/>
  <c r="E2220" i="16"/>
  <c r="D2220" i="16"/>
  <c r="C2220" i="16" s="1"/>
  <c r="E2219" i="16"/>
  <c r="D2219" i="16"/>
  <c r="B2219" i="16" s="1"/>
  <c r="E2218" i="16"/>
  <c r="D2218" i="16"/>
  <c r="E2217" i="16"/>
  <c r="D2217" i="16"/>
  <c r="C2217" i="16" s="1"/>
  <c r="E2216" i="16"/>
  <c r="D2216" i="16"/>
  <c r="E2215" i="16"/>
  <c r="D2215" i="16"/>
  <c r="C2215" i="16" s="1"/>
  <c r="E2214" i="16"/>
  <c r="D2214" i="16"/>
  <c r="B2214" i="16" s="1"/>
  <c r="E2213" i="16"/>
  <c r="D2213" i="16"/>
  <c r="E2212" i="16"/>
  <c r="D2212" i="16"/>
  <c r="C2212" i="16" s="1"/>
  <c r="E2211" i="16"/>
  <c r="D2211" i="16"/>
  <c r="B2211" i="16" s="1"/>
  <c r="E2210" i="16"/>
  <c r="D2210" i="16"/>
  <c r="C2210" i="16" s="1"/>
  <c r="E2209" i="16"/>
  <c r="D2209" i="16"/>
  <c r="B2209" i="16" s="1"/>
  <c r="E2208" i="16"/>
  <c r="D2208" i="16"/>
  <c r="E2207" i="16"/>
  <c r="D2207" i="16"/>
  <c r="B2207" i="16" s="1"/>
  <c r="E2206" i="16"/>
  <c r="D2206" i="16"/>
  <c r="C2206" i="16" s="1"/>
  <c r="E2205" i="16"/>
  <c r="D2205" i="16"/>
  <c r="C2205" i="16" s="1"/>
  <c r="E2204" i="16"/>
  <c r="D2204" i="16"/>
  <c r="E2203" i="16"/>
  <c r="D2203" i="16"/>
  <c r="C2203" i="16" s="1"/>
  <c r="E2202" i="16"/>
  <c r="D2202" i="16"/>
  <c r="B2202" i="16" s="1"/>
  <c r="E2201" i="16"/>
  <c r="D2201" i="16"/>
  <c r="C2201" i="16" s="1"/>
  <c r="E2200" i="16"/>
  <c r="D2200" i="16"/>
  <c r="E2199" i="16"/>
  <c r="D2199" i="16"/>
  <c r="C2199" i="16" s="1"/>
  <c r="E2198" i="16"/>
  <c r="D2198" i="16"/>
  <c r="C2198" i="16" s="1"/>
  <c r="E2197" i="16"/>
  <c r="D2197" i="16"/>
  <c r="C2197" i="16" s="1"/>
  <c r="E2196" i="16"/>
  <c r="D2196" i="16"/>
  <c r="C2196" i="16" s="1"/>
  <c r="E2195" i="16"/>
  <c r="D2195" i="16"/>
  <c r="E2194" i="16"/>
  <c r="D2194" i="16"/>
  <c r="B2194" i="16" s="1"/>
  <c r="E2193" i="16"/>
  <c r="D2193" i="16"/>
  <c r="C2193" i="16" s="1"/>
  <c r="E2192" i="16"/>
  <c r="D2192" i="16"/>
  <c r="E2191" i="16"/>
  <c r="D2191" i="16"/>
  <c r="C2191" i="16" s="1"/>
  <c r="E2190" i="16"/>
  <c r="D2190" i="16"/>
  <c r="B2190" i="16" s="1"/>
  <c r="E2189" i="16"/>
  <c r="D2189" i="16"/>
  <c r="B2189" i="16" s="1"/>
  <c r="E2188" i="16"/>
  <c r="D2188" i="16"/>
  <c r="C2188" i="16" s="1"/>
  <c r="E2187" i="16"/>
  <c r="D2187" i="16"/>
  <c r="E2186" i="16"/>
  <c r="D2186" i="16"/>
  <c r="C2186" i="16" s="1"/>
  <c r="E2185" i="16"/>
  <c r="D2185" i="16"/>
  <c r="C2185" i="16" s="1"/>
  <c r="E2184" i="16"/>
  <c r="D2184" i="16"/>
  <c r="C2184" i="16" s="1"/>
  <c r="E2183" i="16"/>
  <c r="D2183" i="16"/>
  <c r="E2182" i="16"/>
  <c r="D2182" i="16"/>
  <c r="C2182" i="16" s="1"/>
  <c r="E2181" i="16"/>
  <c r="D2181" i="16"/>
  <c r="E2180" i="16"/>
  <c r="D2180" i="16"/>
  <c r="C2180" i="16" s="1"/>
  <c r="E2179" i="16"/>
  <c r="D2179" i="16"/>
  <c r="E2178" i="16"/>
  <c r="D2178" i="16"/>
  <c r="E2177" i="16"/>
  <c r="D2177" i="16"/>
  <c r="C2177" i="16" s="1"/>
  <c r="E2176" i="16"/>
  <c r="D2176" i="16"/>
  <c r="C2176" i="16" s="1"/>
  <c r="E2175" i="16"/>
  <c r="D2175" i="16"/>
  <c r="E2174" i="16"/>
  <c r="D2174" i="16"/>
  <c r="C2174" i="16" s="1"/>
  <c r="E2173" i="16"/>
  <c r="D2173" i="16"/>
  <c r="C2173" i="16" s="1"/>
  <c r="E2172" i="16"/>
  <c r="D2172" i="16"/>
  <c r="C2172" i="16" s="1"/>
  <c r="E2171" i="16"/>
  <c r="D2171" i="16"/>
  <c r="C2171" i="16" s="1"/>
  <c r="E2170" i="16"/>
  <c r="D2170" i="16"/>
  <c r="E2169" i="16"/>
  <c r="D2169" i="16"/>
  <c r="B2169" i="16" s="1"/>
  <c r="E2168" i="16"/>
  <c r="D2168" i="16"/>
  <c r="B2168" i="16" s="1"/>
  <c r="E2167" i="16"/>
  <c r="D2167" i="16"/>
  <c r="E2166" i="16"/>
  <c r="D2166" i="16"/>
  <c r="E2165" i="16"/>
  <c r="D2165" i="16"/>
  <c r="C2165" i="16" s="1"/>
  <c r="E2164" i="16"/>
  <c r="D2164" i="16"/>
  <c r="C2164" i="16" s="1"/>
  <c r="E2163" i="16"/>
  <c r="D2163" i="16"/>
  <c r="B2163" i="16" s="1"/>
  <c r="E2162" i="16"/>
  <c r="D2162" i="16"/>
  <c r="E2161" i="16"/>
  <c r="D2161" i="16"/>
  <c r="C2161" i="16" s="1"/>
  <c r="E2160" i="16"/>
  <c r="D2160" i="16"/>
  <c r="B2160" i="16" s="1"/>
  <c r="E2159" i="16"/>
  <c r="D2159" i="16"/>
  <c r="C2159" i="16" s="1"/>
  <c r="E2158" i="16"/>
  <c r="D2158" i="16"/>
  <c r="E2157" i="16"/>
  <c r="D2157" i="16"/>
  <c r="E2156" i="16"/>
  <c r="D2156" i="16"/>
  <c r="C2156" i="16" s="1"/>
  <c r="E2155" i="16"/>
  <c r="D2155" i="16"/>
  <c r="E2154" i="16"/>
  <c r="D2154" i="16"/>
  <c r="E2153" i="16"/>
  <c r="D2153" i="16"/>
  <c r="C2153" i="16" s="1"/>
  <c r="E2152" i="16"/>
  <c r="D2152" i="16"/>
  <c r="C2152" i="16" s="1"/>
  <c r="E2151" i="16"/>
  <c r="D2151" i="16"/>
  <c r="B2151" i="16" s="1"/>
  <c r="E2150" i="16"/>
  <c r="D2150" i="16"/>
  <c r="B2150" i="16" s="1"/>
  <c r="E2149" i="16"/>
  <c r="D2149" i="16"/>
  <c r="E2148" i="16"/>
  <c r="D2148" i="16"/>
  <c r="B2148" i="16" s="1"/>
  <c r="E2147" i="16"/>
  <c r="D2147" i="16"/>
  <c r="E2146" i="16"/>
  <c r="D2146" i="16"/>
  <c r="C2146" i="16" s="1"/>
  <c r="E2145" i="16"/>
  <c r="D2145" i="16"/>
  <c r="E2144" i="16"/>
  <c r="D2144" i="16"/>
  <c r="C2144" i="16" s="1"/>
  <c r="E2143" i="16"/>
  <c r="D2143" i="16"/>
  <c r="C2143" i="16" s="1"/>
  <c r="E2142" i="16"/>
  <c r="D2142" i="16"/>
  <c r="E2141" i="16"/>
  <c r="D2141" i="16"/>
  <c r="B2141" i="16" s="1"/>
  <c r="E2140" i="16"/>
  <c r="D2140" i="16"/>
  <c r="C2140" i="16" s="1"/>
  <c r="E2139" i="16"/>
  <c r="D2139" i="16"/>
  <c r="B2139" i="16" s="1"/>
  <c r="E2138" i="16"/>
  <c r="D2138" i="16"/>
  <c r="C2138" i="16" s="1"/>
  <c r="E2137" i="16"/>
  <c r="D2137" i="16"/>
  <c r="C2137" i="16" s="1"/>
  <c r="E2136" i="16"/>
  <c r="D2136" i="16"/>
  <c r="E2135" i="16"/>
  <c r="D2135" i="16"/>
  <c r="C2135" i="16" s="1"/>
  <c r="E2134" i="16"/>
  <c r="D2134" i="16"/>
  <c r="C2134" i="16" s="1"/>
  <c r="B2134" i="16"/>
  <c r="E2133" i="16"/>
  <c r="D2133" i="16"/>
  <c r="C2133" i="16" s="1"/>
  <c r="E2132" i="16"/>
  <c r="D2132" i="16"/>
  <c r="C2132" i="16" s="1"/>
  <c r="E2131" i="16"/>
  <c r="D2131" i="16"/>
  <c r="B2131" i="16" s="1"/>
  <c r="E2130" i="16"/>
  <c r="D2130" i="16"/>
  <c r="E2129" i="16"/>
  <c r="D2129" i="16"/>
  <c r="C2129" i="16" s="1"/>
  <c r="E2128" i="16"/>
  <c r="D2128" i="16"/>
  <c r="E2127" i="16"/>
  <c r="D2127" i="16"/>
  <c r="B2127" i="16" s="1"/>
  <c r="E2126" i="16"/>
  <c r="D2126" i="16"/>
  <c r="C2126" i="16" s="1"/>
  <c r="E2125" i="16"/>
  <c r="D2125" i="16"/>
  <c r="B2125" i="16" s="1"/>
  <c r="E2124" i="16"/>
  <c r="D2124" i="16"/>
  <c r="E2123" i="16"/>
  <c r="D2123" i="16"/>
  <c r="C2123" i="16" s="1"/>
  <c r="E2122" i="16"/>
  <c r="D2122" i="16"/>
  <c r="B2122" i="16" s="1"/>
  <c r="C2122" i="16"/>
  <c r="E2121" i="16"/>
  <c r="D2121" i="16"/>
  <c r="E2120" i="16"/>
  <c r="D2120" i="16"/>
  <c r="B2120" i="16" s="1"/>
  <c r="E2119" i="16"/>
  <c r="D2119" i="16"/>
  <c r="C2119" i="16" s="1"/>
  <c r="E2118" i="16"/>
  <c r="D2118" i="16"/>
  <c r="C2118" i="16" s="1"/>
  <c r="E2117" i="16"/>
  <c r="D2117" i="16"/>
  <c r="C2117" i="16" s="1"/>
  <c r="E2116" i="16"/>
  <c r="D2116" i="16"/>
  <c r="C2116" i="16" s="1"/>
  <c r="E2115" i="16"/>
  <c r="D2115" i="16"/>
  <c r="E2114" i="16"/>
  <c r="D2114" i="16"/>
  <c r="B2114" i="16" s="1"/>
  <c r="E2113" i="16"/>
  <c r="D2113" i="16"/>
  <c r="B2113" i="16" s="1"/>
  <c r="E2112" i="16"/>
  <c r="D2112" i="16"/>
  <c r="C2112" i="16" s="1"/>
  <c r="E2111" i="16"/>
  <c r="D2111" i="16"/>
  <c r="C2111" i="16" s="1"/>
  <c r="E2110" i="16"/>
  <c r="D2110" i="16"/>
  <c r="B2110" i="16" s="1"/>
  <c r="E2109" i="16"/>
  <c r="D2109" i="16"/>
  <c r="C2109" i="16" s="1"/>
  <c r="E2108" i="16"/>
  <c r="D2108" i="16"/>
  <c r="E2107" i="16"/>
  <c r="D2107" i="16"/>
  <c r="E2106" i="16"/>
  <c r="D2106" i="16"/>
  <c r="C2106" i="16" s="1"/>
  <c r="E2105" i="16"/>
  <c r="D2105" i="16"/>
  <c r="C2105" i="16" s="1"/>
  <c r="E2104" i="16"/>
  <c r="D2104" i="16"/>
  <c r="B2104" i="16" s="1"/>
  <c r="E2103" i="16"/>
  <c r="D2103" i="16"/>
  <c r="C2103" i="16" s="1"/>
  <c r="E2102" i="16"/>
  <c r="D2102" i="16"/>
  <c r="C2102" i="16" s="1"/>
  <c r="E2101" i="16"/>
  <c r="D2101" i="16"/>
  <c r="B2101" i="16" s="1"/>
  <c r="C2101" i="16"/>
  <c r="E2100" i="16"/>
  <c r="D2100" i="16"/>
  <c r="B2100" i="16" s="1"/>
  <c r="E2099" i="16"/>
  <c r="D2099" i="16"/>
  <c r="B2099" i="16" s="1"/>
  <c r="E2098" i="16"/>
  <c r="D2098" i="16"/>
  <c r="E2097" i="16"/>
  <c r="D2097" i="16"/>
  <c r="E2096" i="16"/>
  <c r="D2096" i="16"/>
  <c r="E2095" i="16"/>
  <c r="D2095" i="16"/>
  <c r="C2095" i="16" s="1"/>
  <c r="E2094" i="16"/>
  <c r="D2094" i="16"/>
  <c r="E2093" i="16"/>
  <c r="D2093" i="16"/>
  <c r="C2093" i="16" s="1"/>
  <c r="E2092" i="16"/>
  <c r="D2092" i="16"/>
  <c r="B2092" i="16" s="1"/>
  <c r="E2091" i="16"/>
  <c r="D2091" i="16"/>
  <c r="B2091" i="16" s="1"/>
  <c r="E2090" i="16"/>
  <c r="D2090" i="16"/>
  <c r="E2089" i="16"/>
  <c r="D2089" i="16"/>
  <c r="B2089" i="16" s="1"/>
  <c r="E2088" i="16"/>
  <c r="D2088" i="16"/>
  <c r="C2088" i="16" s="1"/>
  <c r="E2087" i="16"/>
  <c r="D2087" i="16"/>
  <c r="C2087" i="16" s="1"/>
  <c r="E2086" i="16"/>
  <c r="D2086" i="16"/>
  <c r="B2086" i="16" s="1"/>
  <c r="E2085" i="16"/>
  <c r="D2085" i="16"/>
  <c r="C2085" i="16" s="1"/>
  <c r="E2084" i="16"/>
  <c r="D2084" i="16"/>
  <c r="C2084" i="16" s="1"/>
  <c r="E2083" i="16"/>
  <c r="D2083" i="16"/>
  <c r="C2083" i="16" s="1"/>
  <c r="E2082" i="16"/>
  <c r="D2082" i="16"/>
  <c r="B2082" i="16" s="1"/>
  <c r="E2081" i="16"/>
  <c r="D2081" i="16"/>
  <c r="B2081" i="16" s="1"/>
  <c r="E2080" i="16"/>
  <c r="D2080" i="16"/>
  <c r="E2079" i="16"/>
  <c r="D2079" i="16"/>
  <c r="C2079" i="16" s="1"/>
  <c r="E2078" i="16"/>
  <c r="D2078" i="16"/>
  <c r="B2078" i="16" s="1"/>
  <c r="E2077" i="16"/>
  <c r="D2077" i="16"/>
  <c r="B2077" i="16" s="1"/>
  <c r="E2076" i="16"/>
  <c r="D2076" i="16"/>
  <c r="B2076" i="16" s="1"/>
  <c r="E2075" i="16"/>
  <c r="D2075" i="16"/>
  <c r="B2075" i="16" s="1"/>
  <c r="E2074" i="16"/>
  <c r="D2074" i="16"/>
  <c r="C2074" i="16" s="1"/>
  <c r="E2073" i="16"/>
  <c r="D2073" i="16"/>
  <c r="C2073" i="16" s="1"/>
  <c r="E2072" i="16"/>
  <c r="D2072" i="16"/>
  <c r="B2072" i="16" s="1"/>
  <c r="C2072" i="16"/>
  <c r="E2071" i="16"/>
  <c r="D2071" i="16"/>
  <c r="E2070" i="16"/>
  <c r="D2070" i="16"/>
  <c r="C2070" i="16" s="1"/>
  <c r="E2069" i="16"/>
  <c r="D2069" i="16"/>
  <c r="C2069" i="16" s="1"/>
  <c r="E2068" i="16"/>
  <c r="D2068" i="16"/>
  <c r="E2067" i="16"/>
  <c r="D2067" i="16"/>
  <c r="E2066" i="16"/>
  <c r="D2066" i="16"/>
  <c r="B2066" i="16" s="1"/>
  <c r="E2065" i="16"/>
  <c r="D2065" i="16"/>
  <c r="E2064" i="16"/>
  <c r="D2064" i="16"/>
  <c r="E2063" i="16"/>
  <c r="D2063" i="16"/>
  <c r="B2063" i="16" s="1"/>
  <c r="E2062" i="16"/>
  <c r="D2062" i="16"/>
  <c r="E2061" i="16"/>
  <c r="D2061" i="16"/>
  <c r="E2060" i="16"/>
  <c r="D2060" i="16"/>
  <c r="B2060" i="16" s="1"/>
  <c r="E2059" i="16"/>
  <c r="D2059" i="16"/>
  <c r="B2059" i="16" s="1"/>
  <c r="E2058" i="16"/>
  <c r="D2058" i="16"/>
  <c r="B2058" i="16" s="1"/>
  <c r="E2057" i="16"/>
  <c r="D2057" i="16"/>
  <c r="E2056" i="16"/>
  <c r="D2056" i="16"/>
  <c r="E2055" i="16"/>
  <c r="D2055" i="16"/>
  <c r="B2055" i="16" s="1"/>
  <c r="E2054" i="16"/>
  <c r="D2054" i="16"/>
  <c r="C2054" i="16" s="1"/>
  <c r="E2053" i="16"/>
  <c r="D2053" i="16"/>
  <c r="E2052" i="16"/>
  <c r="D2052" i="16"/>
  <c r="E2051" i="16"/>
  <c r="D2051" i="16"/>
  <c r="C2051" i="16" s="1"/>
  <c r="E2050" i="16"/>
  <c r="D2050" i="16"/>
  <c r="C2050" i="16" s="1"/>
  <c r="E2049" i="16"/>
  <c r="D2049" i="16"/>
  <c r="C2049" i="16" s="1"/>
  <c r="E2048" i="16"/>
  <c r="D2048" i="16"/>
  <c r="C2048" i="16" s="1"/>
  <c r="E2047" i="16"/>
  <c r="D2047" i="16"/>
  <c r="E2046" i="16"/>
  <c r="D2046" i="16"/>
  <c r="B2046" i="16" s="1"/>
  <c r="E2045" i="16"/>
  <c r="D2045" i="16"/>
  <c r="B2045" i="16" s="1"/>
  <c r="E2044" i="16"/>
  <c r="D2044" i="16"/>
  <c r="E2043" i="16"/>
  <c r="D2043" i="16"/>
  <c r="B2043" i="16" s="1"/>
  <c r="E2042" i="16"/>
  <c r="D2042" i="16"/>
  <c r="B2042" i="16" s="1"/>
  <c r="E2041" i="16"/>
  <c r="D2041" i="16"/>
  <c r="B2041" i="16" s="1"/>
  <c r="E2040" i="16"/>
  <c r="D2040" i="16"/>
  <c r="C2040" i="16" s="1"/>
  <c r="E2039" i="16"/>
  <c r="D2039" i="16"/>
  <c r="E2038" i="16"/>
  <c r="D2038" i="16"/>
  <c r="C2038" i="16" s="1"/>
  <c r="E2037" i="16"/>
  <c r="D2037" i="16"/>
  <c r="B2037" i="16" s="1"/>
  <c r="E2036" i="16"/>
  <c r="D2036" i="16"/>
  <c r="C2036" i="16" s="1"/>
  <c r="E2035" i="16"/>
  <c r="D2035" i="16"/>
  <c r="C2035" i="16" s="1"/>
  <c r="E2034" i="16"/>
  <c r="D2034" i="16"/>
  <c r="C2034" i="16" s="1"/>
  <c r="E2033" i="16"/>
  <c r="D2033" i="16"/>
  <c r="B2033" i="16" s="1"/>
  <c r="E2032" i="16"/>
  <c r="D2032" i="16"/>
  <c r="C2032" i="16" s="1"/>
  <c r="E2031" i="16"/>
  <c r="D2031" i="16"/>
  <c r="B2031" i="16" s="1"/>
  <c r="E2030" i="16"/>
  <c r="D2030" i="16"/>
  <c r="C2030" i="16" s="1"/>
  <c r="E2029" i="16"/>
  <c r="D2029" i="16"/>
  <c r="B2029" i="16" s="1"/>
  <c r="E2028" i="16"/>
  <c r="D2028" i="16"/>
  <c r="C2028" i="16" s="1"/>
  <c r="E2027" i="16"/>
  <c r="D2027" i="16"/>
  <c r="C2027" i="16" s="1"/>
  <c r="E2026" i="16"/>
  <c r="D2026" i="16"/>
  <c r="B2026" i="16" s="1"/>
  <c r="E2025" i="16"/>
  <c r="D2025" i="16"/>
  <c r="E2024" i="16"/>
  <c r="D2024" i="16"/>
  <c r="C2024" i="16" s="1"/>
  <c r="E2023" i="16"/>
  <c r="D2023" i="16"/>
  <c r="C2023" i="16" s="1"/>
  <c r="E2022" i="16"/>
  <c r="D2022" i="16"/>
  <c r="E2021" i="16"/>
  <c r="D2021" i="16"/>
  <c r="E2020" i="16"/>
  <c r="D2020" i="16"/>
  <c r="C2020" i="16" s="1"/>
  <c r="E2019" i="16"/>
  <c r="D2019" i="16"/>
  <c r="E2018" i="16"/>
  <c r="D2018" i="16"/>
  <c r="B2018" i="16" s="1"/>
  <c r="C2018" i="16"/>
  <c r="E2017" i="16"/>
  <c r="D2017" i="16"/>
  <c r="B2017" i="16" s="1"/>
  <c r="E2016" i="16"/>
  <c r="D2016" i="16"/>
  <c r="E2015" i="16"/>
  <c r="D2015" i="16"/>
  <c r="C2015" i="16" s="1"/>
  <c r="E2014" i="16"/>
  <c r="D2014" i="16"/>
  <c r="C2014" i="16" s="1"/>
  <c r="B2014" i="16"/>
  <c r="E2013" i="16"/>
  <c r="D2013" i="16"/>
  <c r="E2012" i="16"/>
  <c r="D2012" i="16"/>
  <c r="B2012" i="16" s="1"/>
  <c r="E2011" i="16"/>
  <c r="D2011" i="16"/>
  <c r="C2011" i="16" s="1"/>
  <c r="E2010" i="16"/>
  <c r="D2010" i="16"/>
  <c r="C2010" i="16" s="1"/>
  <c r="E2009" i="16"/>
  <c r="D2009" i="16"/>
  <c r="B2009" i="16" s="1"/>
  <c r="E2008" i="16"/>
  <c r="D2008" i="16"/>
  <c r="E2007" i="16"/>
  <c r="D2007" i="16"/>
  <c r="C2007" i="16" s="1"/>
  <c r="E2006" i="16"/>
  <c r="D2006" i="16"/>
  <c r="B2006" i="16" s="1"/>
  <c r="E2005" i="16"/>
  <c r="D2005" i="16"/>
  <c r="E2004" i="16"/>
  <c r="D2004" i="16"/>
  <c r="B2004" i="16" s="1"/>
  <c r="E2003" i="16"/>
  <c r="D2003" i="16"/>
  <c r="C2003" i="16" s="1"/>
  <c r="E2002" i="16"/>
  <c r="D2002" i="16"/>
  <c r="B2002" i="16" s="1"/>
  <c r="E2001" i="16"/>
  <c r="D2001" i="16"/>
  <c r="E2000" i="16"/>
  <c r="D2000" i="16"/>
  <c r="C2000" i="16" s="1"/>
  <c r="E1999" i="16"/>
  <c r="D1999" i="16"/>
  <c r="C1999" i="16" s="1"/>
  <c r="E1998" i="16"/>
  <c r="D1998" i="16"/>
  <c r="C1998" i="16" s="1"/>
  <c r="E1997" i="16"/>
  <c r="D1997" i="16"/>
  <c r="B1997" i="16" s="1"/>
  <c r="E1996" i="16"/>
  <c r="D1996" i="16"/>
  <c r="B1996" i="16" s="1"/>
  <c r="E1995" i="16"/>
  <c r="D1995" i="16"/>
  <c r="E1994" i="16"/>
  <c r="D1994" i="16"/>
  <c r="C1994" i="16" s="1"/>
  <c r="E1993" i="16"/>
  <c r="D1993" i="16"/>
  <c r="B1993" i="16" s="1"/>
  <c r="E1992" i="16"/>
  <c r="D1992" i="16"/>
  <c r="C1992" i="16" s="1"/>
  <c r="E1991" i="16"/>
  <c r="D1991" i="16"/>
  <c r="B1991" i="16" s="1"/>
  <c r="E1990" i="16"/>
  <c r="D1990" i="16"/>
  <c r="C1990" i="16" s="1"/>
  <c r="E1989" i="16"/>
  <c r="D1989" i="16"/>
  <c r="B1989" i="16" s="1"/>
  <c r="E1988" i="16"/>
  <c r="D1988" i="16"/>
  <c r="C1988" i="16" s="1"/>
  <c r="E1987" i="16"/>
  <c r="D1987" i="16"/>
  <c r="C1987" i="16" s="1"/>
  <c r="E1986" i="16"/>
  <c r="D1986" i="16"/>
  <c r="B1986" i="16" s="1"/>
  <c r="E1985" i="16"/>
  <c r="D1985" i="16"/>
  <c r="C1985" i="16" s="1"/>
  <c r="E1984" i="16"/>
  <c r="D1984" i="16"/>
  <c r="C1984" i="16" s="1"/>
  <c r="E1983" i="16"/>
  <c r="D1983" i="16"/>
  <c r="C1983" i="16" s="1"/>
  <c r="E1982" i="16"/>
  <c r="D1982" i="16"/>
  <c r="E1981" i="16"/>
  <c r="D1981" i="16"/>
  <c r="B1981" i="16" s="1"/>
  <c r="E1980" i="16"/>
  <c r="D1980" i="16"/>
  <c r="C1980" i="16" s="1"/>
  <c r="E1979" i="16"/>
  <c r="D1979" i="16"/>
  <c r="C1979" i="16" s="1"/>
  <c r="E1978" i="16"/>
  <c r="D1978" i="16"/>
  <c r="C1978" i="16" s="1"/>
  <c r="E1977" i="16"/>
  <c r="D1977" i="16"/>
  <c r="B1977" i="16" s="1"/>
  <c r="E1976" i="16"/>
  <c r="D1976" i="16"/>
  <c r="B1976" i="16" s="1"/>
  <c r="E1975" i="16"/>
  <c r="D1975" i="16"/>
  <c r="C1975" i="16" s="1"/>
  <c r="E1974" i="16"/>
  <c r="D1974" i="16"/>
  <c r="B1974" i="16" s="1"/>
  <c r="E1973" i="16"/>
  <c r="D1973" i="16"/>
  <c r="C1973" i="16" s="1"/>
  <c r="E1972" i="16"/>
  <c r="D1972" i="16"/>
  <c r="C1972" i="16" s="1"/>
  <c r="E1971" i="16"/>
  <c r="D1971" i="16"/>
  <c r="C1971" i="16" s="1"/>
  <c r="E1970" i="16"/>
  <c r="D1970" i="16"/>
  <c r="E1969" i="16"/>
  <c r="D1969" i="16"/>
  <c r="B1969" i="16" s="1"/>
  <c r="E1968" i="16"/>
  <c r="D1968" i="16"/>
  <c r="C1968" i="16" s="1"/>
  <c r="B1968" i="16"/>
  <c r="E1967" i="16"/>
  <c r="D1967" i="16"/>
  <c r="E1966" i="16"/>
  <c r="D1966" i="16"/>
  <c r="B1966" i="16" s="1"/>
  <c r="E1965" i="16"/>
  <c r="D1965" i="16"/>
  <c r="B1965" i="16" s="1"/>
  <c r="E1964" i="16"/>
  <c r="D1964" i="16"/>
  <c r="E1963" i="16"/>
  <c r="D1963" i="16"/>
  <c r="E1962" i="16"/>
  <c r="D1962" i="16"/>
  <c r="E1961" i="16"/>
  <c r="D1961" i="16"/>
  <c r="B1961" i="16" s="1"/>
  <c r="E1960" i="16"/>
  <c r="D1960" i="16"/>
  <c r="C1960" i="16" s="1"/>
  <c r="E1959" i="16"/>
  <c r="D1959" i="16"/>
  <c r="C1959" i="16" s="1"/>
  <c r="E1958" i="16"/>
  <c r="D1958" i="16"/>
  <c r="C1958" i="16" s="1"/>
  <c r="E1957" i="16"/>
  <c r="D1957" i="16"/>
  <c r="E1956" i="16"/>
  <c r="D1956" i="16"/>
  <c r="C1956" i="16" s="1"/>
  <c r="E1955" i="16"/>
  <c r="D1955" i="16"/>
  <c r="E1954" i="16"/>
  <c r="D1954" i="16"/>
  <c r="C1954" i="16" s="1"/>
  <c r="E1953" i="16"/>
  <c r="D1953" i="16"/>
  <c r="C1953" i="16" s="1"/>
  <c r="E1952" i="16"/>
  <c r="D1952" i="16"/>
  <c r="E1951" i="16"/>
  <c r="D1951" i="16"/>
  <c r="B1951" i="16" s="1"/>
  <c r="E1950" i="16"/>
  <c r="D1950" i="16"/>
  <c r="E1949" i="16"/>
  <c r="D1949" i="16"/>
  <c r="E1948" i="16"/>
  <c r="D1948" i="16"/>
  <c r="C1948" i="16" s="1"/>
  <c r="E1947" i="16"/>
  <c r="D1947" i="16"/>
  <c r="C1947" i="16" s="1"/>
  <c r="E1946" i="16"/>
  <c r="D1946" i="16"/>
  <c r="B1946" i="16" s="1"/>
  <c r="E1945" i="16"/>
  <c r="D1945" i="16"/>
  <c r="C1945" i="16" s="1"/>
  <c r="E1944" i="16"/>
  <c r="D1944" i="16"/>
  <c r="E1943" i="16"/>
  <c r="D1943" i="16"/>
  <c r="C1943" i="16" s="1"/>
  <c r="E1942" i="16"/>
  <c r="D1942" i="16"/>
  <c r="E1941" i="16"/>
  <c r="D1941" i="16"/>
  <c r="B1941" i="16" s="1"/>
  <c r="C1941" i="16"/>
  <c r="E1940" i="16"/>
  <c r="D1940" i="16"/>
  <c r="E1939" i="16"/>
  <c r="D1939" i="16"/>
  <c r="C1939" i="16" s="1"/>
  <c r="E1938" i="16"/>
  <c r="D1938" i="16"/>
  <c r="C1938" i="16" s="1"/>
  <c r="E1937" i="16"/>
  <c r="D1937" i="16"/>
  <c r="E1936" i="16"/>
  <c r="D1936" i="16"/>
  <c r="E1935" i="16"/>
  <c r="D1935" i="16"/>
  <c r="C1935" i="16" s="1"/>
  <c r="E1934" i="16"/>
  <c r="D1934" i="16"/>
  <c r="C1934" i="16" s="1"/>
  <c r="E1933" i="16"/>
  <c r="D1933" i="16"/>
  <c r="C1933" i="16" s="1"/>
  <c r="E1932" i="16"/>
  <c r="D1932" i="16"/>
  <c r="E1931" i="16"/>
  <c r="D1931" i="16"/>
  <c r="E1930" i="16"/>
  <c r="D1930" i="16"/>
  <c r="B1930" i="16" s="1"/>
  <c r="E1929" i="16"/>
  <c r="D1929" i="16"/>
  <c r="C1929" i="16" s="1"/>
  <c r="E1928" i="16"/>
  <c r="D1928" i="16"/>
  <c r="B1928" i="16" s="1"/>
  <c r="E1927" i="16"/>
  <c r="D1927" i="16"/>
  <c r="C1927" i="16" s="1"/>
  <c r="E1926" i="16"/>
  <c r="D1926" i="16"/>
  <c r="E1925" i="16"/>
  <c r="D1925" i="16"/>
  <c r="E1924" i="16"/>
  <c r="D1924" i="16"/>
  <c r="E1923" i="16"/>
  <c r="D1923" i="16"/>
  <c r="C1923" i="16" s="1"/>
  <c r="E1922" i="16"/>
  <c r="D1922" i="16"/>
  <c r="B1922" i="16" s="1"/>
  <c r="E1921" i="16"/>
  <c r="D1921" i="16"/>
  <c r="B1921" i="16" s="1"/>
  <c r="E1920" i="16"/>
  <c r="D1920" i="16"/>
  <c r="C1920" i="16" s="1"/>
  <c r="E1919" i="16"/>
  <c r="D1919" i="16"/>
  <c r="B1919" i="16" s="1"/>
  <c r="E1918" i="16"/>
  <c r="D1918" i="16"/>
  <c r="C1918" i="16" s="1"/>
  <c r="E1917" i="16"/>
  <c r="D1917" i="16"/>
  <c r="C1917" i="16" s="1"/>
  <c r="E1916" i="16"/>
  <c r="D1916" i="16"/>
  <c r="E1915" i="16"/>
  <c r="D1915" i="16"/>
  <c r="C1915" i="16" s="1"/>
  <c r="E1914" i="16"/>
  <c r="D1914" i="16"/>
  <c r="C1914" i="16" s="1"/>
  <c r="E1913" i="16"/>
  <c r="D1913" i="16"/>
  <c r="E1912" i="16"/>
  <c r="D1912" i="16"/>
  <c r="E1911" i="16"/>
  <c r="D1911" i="16"/>
  <c r="E1910" i="16"/>
  <c r="D1910" i="16"/>
  <c r="C1910" i="16" s="1"/>
  <c r="E1909" i="16"/>
  <c r="D1909" i="16"/>
  <c r="B1909" i="16" s="1"/>
  <c r="E1908" i="16"/>
  <c r="D1908" i="16"/>
  <c r="C1908" i="16" s="1"/>
  <c r="E1907" i="16"/>
  <c r="D1907" i="16"/>
  <c r="C1907" i="16" s="1"/>
  <c r="E1906" i="16"/>
  <c r="D1906" i="16"/>
  <c r="E1905" i="16"/>
  <c r="D1905" i="16"/>
  <c r="B1905" i="16" s="1"/>
  <c r="E1904" i="16"/>
  <c r="D1904" i="16"/>
  <c r="C1904" i="16" s="1"/>
  <c r="E1903" i="16"/>
  <c r="D1903" i="16"/>
  <c r="C1903" i="16" s="1"/>
  <c r="E1902" i="16"/>
  <c r="D1902" i="16"/>
  <c r="C1902" i="16" s="1"/>
  <c r="E1901" i="16"/>
  <c r="D1901" i="16"/>
  <c r="E1900" i="16"/>
  <c r="D1900" i="16"/>
  <c r="C1900" i="16" s="1"/>
  <c r="E1899" i="16"/>
  <c r="D1899" i="16"/>
  <c r="E1898" i="16"/>
  <c r="D1898" i="16"/>
  <c r="B1898" i="16" s="1"/>
  <c r="E1897" i="16"/>
  <c r="D1897" i="16"/>
  <c r="C1897" i="16" s="1"/>
  <c r="E1896" i="16"/>
  <c r="D1896" i="16"/>
  <c r="C1896" i="16" s="1"/>
  <c r="B1896" i="16"/>
  <c r="E1895" i="16"/>
  <c r="D1895" i="16"/>
  <c r="C1895" i="16" s="1"/>
  <c r="E1894" i="16"/>
  <c r="D1894" i="16"/>
  <c r="E1893" i="16"/>
  <c r="D1893" i="16"/>
  <c r="C1893" i="16" s="1"/>
  <c r="E1892" i="16"/>
  <c r="D1892" i="16"/>
  <c r="E1891" i="16"/>
  <c r="D1891" i="16"/>
  <c r="B1891" i="16" s="1"/>
  <c r="E1890" i="16"/>
  <c r="D1890" i="16"/>
  <c r="B1890" i="16" s="1"/>
  <c r="E1889" i="16"/>
  <c r="D1889" i="16"/>
  <c r="C1889" i="16" s="1"/>
  <c r="E1888" i="16"/>
  <c r="D1888" i="16"/>
  <c r="E1887" i="16"/>
  <c r="D1887" i="16"/>
  <c r="C1887" i="16" s="1"/>
  <c r="E1886" i="16"/>
  <c r="D1886" i="16"/>
  <c r="B1886" i="16" s="1"/>
  <c r="E1885" i="16"/>
  <c r="D1885" i="16"/>
  <c r="C1885" i="16" s="1"/>
  <c r="E1884" i="16"/>
  <c r="D1884" i="16"/>
  <c r="B1884" i="16" s="1"/>
  <c r="E1883" i="16"/>
  <c r="D1883" i="16"/>
  <c r="B1883" i="16" s="1"/>
  <c r="E1882" i="16"/>
  <c r="D1882" i="16"/>
  <c r="C1882" i="16" s="1"/>
  <c r="E1881" i="16"/>
  <c r="D1881" i="16"/>
  <c r="C1881" i="16" s="1"/>
  <c r="E1880" i="16"/>
  <c r="D1880" i="16"/>
  <c r="B1880" i="16" s="1"/>
  <c r="E1879" i="16"/>
  <c r="D1879" i="16"/>
  <c r="E1878" i="16"/>
  <c r="D1878" i="16"/>
  <c r="B1878" i="16" s="1"/>
  <c r="E1877" i="16"/>
  <c r="D1877" i="16"/>
  <c r="C1877" i="16" s="1"/>
  <c r="E1876" i="16"/>
  <c r="D1876" i="16"/>
  <c r="E1875" i="16"/>
  <c r="D1875" i="16"/>
  <c r="B1875" i="16" s="1"/>
  <c r="E1874" i="16"/>
  <c r="D1874" i="16"/>
  <c r="C1874" i="16" s="1"/>
  <c r="E1873" i="16"/>
  <c r="D1873" i="16"/>
  <c r="C1873" i="16" s="1"/>
  <c r="E1872" i="16"/>
  <c r="D1872" i="16"/>
  <c r="C1872" i="16" s="1"/>
  <c r="E1871" i="16"/>
  <c r="D1871" i="16"/>
  <c r="C1871" i="16" s="1"/>
  <c r="E1870" i="16"/>
  <c r="D1870" i="16"/>
  <c r="E1869" i="16"/>
  <c r="D1869" i="16"/>
  <c r="B1869" i="16" s="1"/>
  <c r="E1868" i="16"/>
  <c r="D1868" i="16"/>
  <c r="B1868" i="16" s="1"/>
  <c r="E1867" i="16"/>
  <c r="D1867" i="16"/>
  <c r="C1867" i="16" s="1"/>
  <c r="E1866" i="16"/>
  <c r="D1866" i="16"/>
  <c r="E1865" i="16"/>
  <c r="D1865" i="16"/>
  <c r="C1865" i="16" s="1"/>
  <c r="E1864" i="16"/>
  <c r="D1864" i="16"/>
  <c r="C1864" i="16" s="1"/>
  <c r="E1863" i="16"/>
  <c r="D1863" i="16"/>
  <c r="C1863" i="16" s="1"/>
  <c r="E1862" i="16"/>
  <c r="D1862" i="16"/>
  <c r="B1862" i="16" s="1"/>
  <c r="E1861" i="16"/>
  <c r="D1861" i="16"/>
  <c r="B1861" i="16" s="1"/>
  <c r="E1860" i="16"/>
  <c r="D1860" i="16"/>
  <c r="C1860" i="16" s="1"/>
  <c r="E1859" i="16"/>
  <c r="D1859" i="16"/>
  <c r="C1859" i="16" s="1"/>
  <c r="E1858" i="16"/>
  <c r="D1858" i="16"/>
  <c r="B1858" i="16" s="1"/>
  <c r="E1857" i="16"/>
  <c r="D1857" i="16"/>
  <c r="B1857" i="16" s="1"/>
  <c r="E1856" i="16"/>
  <c r="D1856" i="16"/>
  <c r="B1856" i="16" s="1"/>
  <c r="E1855" i="16"/>
  <c r="D1855" i="16"/>
  <c r="E1854" i="16"/>
  <c r="D1854" i="16"/>
  <c r="B1854" i="16" s="1"/>
  <c r="E1853" i="16"/>
  <c r="D1853" i="16"/>
  <c r="C1853" i="16" s="1"/>
  <c r="E1852" i="16"/>
  <c r="D1852" i="16"/>
  <c r="E1851" i="16"/>
  <c r="D1851" i="16"/>
  <c r="B1851" i="16" s="1"/>
  <c r="E1850" i="16"/>
  <c r="D1850" i="16"/>
  <c r="B1850" i="16" s="1"/>
  <c r="E1849" i="16"/>
  <c r="D1849" i="16"/>
  <c r="C1849" i="16" s="1"/>
  <c r="E1848" i="16"/>
  <c r="D1848" i="16"/>
  <c r="C1848" i="16" s="1"/>
  <c r="E1847" i="16"/>
  <c r="D1847" i="16"/>
  <c r="C1847" i="16" s="1"/>
  <c r="E1846" i="16"/>
  <c r="D1846" i="16"/>
  <c r="E1845" i="16"/>
  <c r="D1845" i="16"/>
  <c r="C1845" i="16" s="1"/>
  <c r="E1844" i="16"/>
  <c r="D1844" i="16"/>
  <c r="B1844" i="16" s="1"/>
  <c r="E1843" i="16"/>
  <c r="D1843" i="16"/>
  <c r="E1842" i="16"/>
  <c r="D1842" i="16"/>
  <c r="E1841" i="16"/>
  <c r="D1841" i="16"/>
  <c r="C1841" i="16" s="1"/>
  <c r="E1840" i="16"/>
  <c r="D1840" i="16"/>
  <c r="B1840" i="16" s="1"/>
  <c r="E1839" i="16"/>
  <c r="D1839" i="16"/>
  <c r="E1838" i="16"/>
  <c r="D1838" i="16"/>
  <c r="B1838" i="16" s="1"/>
  <c r="E1837" i="16"/>
  <c r="D1837" i="16"/>
  <c r="E1836" i="16"/>
  <c r="D1836" i="16"/>
  <c r="E1835" i="16"/>
  <c r="D1835" i="16"/>
  <c r="C1835" i="16" s="1"/>
  <c r="E1834" i="16"/>
  <c r="D1834" i="16"/>
  <c r="C1834" i="16" s="1"/>
  <c r="E1833" i="16"/>
  <c r="D1833" i="16"/>
  <c r="B1833" i="16" s="1"/>
  <c r="E1832" i="16"/>
  <c r="D1832" i="16"/>
  <c r="C1832" i="16"/>
  <c r="E1831" i="16"/>
  <c r="D1831" i="16"/>
  <c r="C1831" i="16" s="1"/>
  <c r="E1830" i="16"/>
  <c r="D1830" i="16"/>
  <c r="E1829" i="16"/>
  <c r="D1829" i="16"/>
  <c r="B1829" i="16" s="1"/>
  <c r="E1828" i="16"/>
  <c r="D1828" i="16"/>
  <c r="E1827" i="16"/>
  <c r="D1827" i="16"/>
  <c r="C1827" i="16" s="1"/>
  <c r="E1826" i="16"/>
  <c r="D1826" i="16"/>
  <c r="B1826" i="16" s="1"/>
  <c r="E1825" i="16"/>
  <c r="D1825" i="16"/>
  <c r="E1824" i="16"/>
  <c r="D1824" i="16"/>
  <c r="C1824" i="16" s="1"/>
  <c r="E1823" i="16"/>
  <c r="D1823" i="16"/>
  <c r="C1823" i="16" s="1"/>
  <c r="E1822" i="16"/>
  <c r="D1822" i="16"/>
  <c r="B1822" i="16" s="1"/>
  <c r="E1821" i="16"/>
  <c r="D1821" i="16"/>
  <c r="B1821" i="16" s="1"/>
  <c r="E1820" i="16"/>
  <c r="D1820" i="16"/>
  <c r="E1819" i="16"/>
  <c r="D1819" i="16"/>
  <c r="C1819" i="16" s="1"/>
  <c r="E1818" i="16"/>
  <c r="D1818" i="16"/>
  <c r="B1818" i="16" s="1"/>
  <c r="E1817" i="16"/>
  <c r="D1817" i="16"/>
  <c r="C1817" i="16" s="1"/>
  <c r="E1816" i="16"/>
  <c r="D1816" i="16"/>
  <c r="C1816" i="16" s="1"/>
  <c r="E1815" i="16"/>
  <c r="D1815" i="16"/>
  <c r="E1814" i="16"/>
  <c r="D1814" i="16"/>
  <c r="E1813" i="16"/>
  <c r="D1813" i="16"/>
  <c r="B1813" i="16" s="1"/>
  <c r="C1813" i="16"/>
  <c r="E1812" i="16"/>
  <c r="D1812" i="16"/>
  <c r="E1811" i="16"/>
  <c r="D1811" i="16"/>
  <c r="E1810" i="16"/>
  <c r="D1810" i="16"/>
  <c r="B1810" i="16" s="1"/>
  <c r="E1809" i="16"/>
  <c r="D1809" i="16"/>
  <c r="C1809" i="16" s="1"/>
  <c r="E1808" i="16"/>
  <c r="D1808" i="16"/>
  <c r="B1808" i="16" s="1"/>
  <c r="E1807" i="16"/>
  <c r="D1807" i="16"/>
  <c r="C1807" i="16" s="1"/>
  <c r="E1806" i="16"/>
  <c r="D1806" i="16"/>
  <c r="E1805" i="16"/>
  <c r="D1805" i="16"/>
  <c r="B1805" i="16" s="1"/>
  <c r="E1804" i="16"/>
  <c r="D1804" i="16"/>
  <c r="E1803" i="16"/>
  <c r="D1803" i="16"/>
  <c r="C1803" i="16" s="1"/>
  <c r="E1802" i="16"/>
  <c r="D1802" i="16"/>
  <c r="E1801" i="16"/>
  <c r="D1801" i="16"/>
  <c r="C1801" i="16" s="1"/>
  <c r="E1800" i="16"/>
  <c r="D1800" i="16"/>
  <c r="C1800" i="16" s="1"/>
  <c r="E1799" i="16"/>
  <c r="D1799" i="16"/>
  <c r="C1799" i="16" s="1"/>
  <c r="E1798" i="16"/>
  <c r="D1798" i="16"/>
  <c r="C1798" i="16" s="1"/>
  <c r="E1797" i="16"/>
  <c r="D1797" i="16"/>
  <c r="C1797" i="16" s="1"/>
  <c r="E1796" i="16"/>
  <c r="D1796" i="16"/>
  <c r="B1796" i="16" s="1"/>
  <c r="E1795" i="16"/>
  <c r="D1795" i="16"/>
  <c r="E1794" i="16"/>
  <c r="D1794" i="16"/>
  <c r="E1793" i="16"/>
  <c r="D1793" i="16"/>
  <c r="E1792" i="16"/>
  <c r="D1792" i="16"/>
  <c r="E1791" i="16"/>
  <c r="D1791" i="16"/>
  <c r="C1791" i="16" s="1"/>
  <c r="E1790" i="16"/>
  <c r="D1790" i="16"/>
  <c r="B1790" i="16" s="1"/>
  <c r="E1789" i="16"/>
  <c r="D1789" i="16"/>
  <c r="B1789" i="16" s="1"/>
  <c r="E1788" i="16"/>
  <c r="D1788" i="16"/>
  <c r="C1788" i="16" s="1"/>
  <c r="E1787" i="16"/>
  <c r="D1787" i="16"/>
  <c r="E1786" i="16"/>
  <c r="D1786" i="16"/>
  <c r="E1785" i="16"/>
  <c r="D1785" i="16"/>
  <c r="E1784" i="16"/>
  <c r="D1784" i="16"/>
  <c r="B1784" i="16" s="1"/>
  <c r="E1783" i="16"/>
  <c r="D1783" i="16"/>
  <c r="C1783" i="16" s="1"/>
  <c r="E1782" i="16"/>
  <c r="D1782" i="16"/>
  <c r="C1782" i="16" s="1"/>
  <c r="E1781" i="16"/>
  <c r="D1781" i="16"/>
  <c r="E1780" i="16"/>
  <c r="D1780" i="16"/>
  <c r="C1780" i="16" s="1"/>
  <c r="E1779" i="16"/>
  <c r="D1779" i="16"/>
  <c r="B1779" i="16" s="1"/>
  <c r="E1778" i="16"/>
  <c r="D1778" i="16"/>
  <c r="E1777" i="16"/>
  <c r="D1777" i="16"/>
  <c r="C1777" i="16" s="1"/>
  <c r="E1776" i="16"/>
  <c r="D1776" i="16"/>
  <c r="C1776" i="16" s="1"/>
  <c r="E1775" i="16"/>
  <c r="D1775" i="16"/>
  <c r="E1774" i="16"/>
  <c r="D1774" i="16"/>
  <c r="E1773" i="16"/>
  <c r="D1773" i="16"/>
  <c r="E1772" i="16"/>
  <c r="D1772" i="16"/>
  <c r="C1772" i="16" s="1"/>
  <c r="E1771" i="16"/>
  <c r="D1771" i="16"/>
  <c r="B1771" i="16" s="1"/>
  <c r="C1771" i="16"/>
  <c r="E1770" i="16"/>
  <c r="D1770" i="16"/>
  <c r="C1770" i="16" s="1"/>
  <c r="E1769" i="16"/>
  <c r="D1769" i="16"/>
  <c r="C1769" i="16" s="1"/>
  <c r="E1768" i="16"/>
  <c r="D1768" i="16"/>
  <c r="E1767" i="16"/>
  <c r="D1767" i="16"/>
  <c r="C1767" i="16" s="1"/>
  <c r="E1766" i="16"/>
  <c r="D1766" i="16"/>
  <c r="B1766" i="16" s="1"/>
  <c r="E1765" i="16"/>
  <c r="D1765" i="16"/>
  <c r="C1765" i="16" s="1"/>
  <c r="E1764" i="16"/>
  <c r="D1764" i="16"/>
  <c r="C1764" i="16" s="1"/>
  <c r="E1763" i="16"/>
  <c r="D1763" i="16"/>
  <c r="E1762" i="16"/>
  <c r="D1762" i="16"/>
  <c r="B1762" i="16" s="1"/>
  <c r="E1761" i="16"/>
  <c r="D1761" i="16"/>
  <c r="C1761" i="16" s="1"/>
  <c r="E1760" i="16"/>
  <c r="D1760" i="16"/>
  <c r="C1760" i="16" s="1"/>
  <c r="E1759" i="16"/>
  <c r="D1759" i="16"/>
  <c r="C1759" i="16" s="1"/>
  <c r="E1758" i="16"/>
  <c r="D1758" i="16"/>
  <c r="B1758" i="16" s="1"/>
  <c r="E1757" i="16"/>
  <c r="D1757" i="16"/>
  <c r="E1756" i="16"/>
  <c r="D1756" i="16"/>
  <c r="C1756" i="16" s="1"/>
  <c r="E1755" i="16"/>
  <c r="D1755" i="16"/>
  <c r="E1754" i="16"/>
  <c r="D1754" i="16"/>
  <c r="B1754" i="16" s="1"/>
  <c r="E1753" i="16"/>
  <c r="D1753" i="16"/>
  <c r="C1753" i="16" s="1"/>
  <c r="E1752" i="16"/>
  <c r="D1752" i="16"/>
  <c r="C1752" i="16" s="1"/>
  <c r="E1751" i="16"/>
  <c r="D1751" i="16"/>
  <c r="C1751" i="16" s="1"/>
  <c r="E1750" i="16"/>
  <c r="D1750" i="16"/>
  <c r="C1750" i="16" s="1"/>
  <c r="E1749" i="16"/>
  <c r="D1749" i="16"/>
  <c r="C1749" i="16" s="1"/>
  <c r="E1748" i="16"/>
  <c r="D1748" i="16"/>
  <c r="B1748" i="16" s="1"/>
  <c r="C1748" i="16"/>
  <c r="E1747" i="16"/>
  <c r="D1747" i="16"/>
  <c r="E1746" i="16"/>
  <c r="D1746" i="16"/>
  <c r="E1745" i="16"/>
  <c r="D1745" i="16"/>
  <c r="E1744" i="16"/>
  <c r="D1744" i="16"/>
  <c r="B1744" i="16" s="1"/>
  <c r="E1743" i="16"/>
  <c r="D1743" i="16"/>
  <c r="C1743" i="16" s="1"/>
  <c r="E1742" i="16"/>
  <c r="D1742" i="16"/>
  <c r="C1742" i="16" s="1"/>
  <c r="E1741" i="16"/>
  <c r="D1741" i="16"/>
  <c r="C1741" i="16" s="1"/>
  <c r="E1740" i="16"/>
  <c r="D1740" i="16"/>
  <c r="B1740" i="16"/>
  <c r="E1739" i="16"/>
  <c r="D1739" i="16"/>
  <c r="C1739" i="16" s="1"/>
  <c r="E1738" i="16"/>
  <c r="D1738" i="16"/>
  <c r="E1737" i="16"/>
  <c r="D1737" i="16"/>
  <c r="C1737" i="16" s="1"/>
  <c r="E1736" i="16"/>
  <c r="D1736" i="16"/>
  <c r="E1735" i="16"/>
  <c r="D1735" i="16"/>
  <c r="C1735" i="16" s="1"/>
  <c r="E1734" i="16"/>
  <c r="D1734" i="16"/>
  <c r="E1733" i="16"/>
  <c r="D1733" i="16"/>
  <c r="B1733" i="16" s="1"/>
  <c r="E1732" i="16"/>
  <c r="D1732" i="16"/>
  <c r="E1731" i="16"/>
  <c r="D1731" i="16"/>
  <c r="E1730" i="16"/>
  <c r="D1730" i="16"/>
  <c r="E1729" i="16"/>
  <c r="D1729" i="16"/>
  <c r="C1729" i="16" s="1"/>
  <c r="E1728" i="16"/>
  <c r="D1728" i="16"/>
  <c r="E1727" i="16"/>
  <c r="D1727" i="16"/>
  <c r="C1727" i="16" s="1"/>
  <c r="E1726" i="16"/>
  <c r="D1726" i="16"/>
  <c r="B1726" i="16" s="1"/>
  <c r="E1725" i="16"/>
  <c r="D1725" i="16"/>
  <c r="C1725" i="16" s="1"/>
  <c r="E1724" i="16"/>
  <c r="D1724" i="16"/>
  <c r="E1723" i="16"/>
  <c r="D1723" i="16"/>
  <c r="C1723" i="16" s="1"/>
  <c r="E1722" i="16"/>
  <c r="D1722" i="16"/>
  <c r="E1721" i="16"/>
  <c r="D1721" i="16"/>
  <c r="E1720" i="16"/>
  <c r="D1720" i="16"/>
  <c r="E1719" i="16"/>
  <c r="D1719" i="16"/>
  <c r="C1719" i="16" s="1"/>
  <c r="E1718" i="16"/>
  <c r="D1718" i="16"/>
  <c r="C1718" i="16" s="1"/>
  <c r="E1717" i="16"/>
  <c r="D1717" i="16"/>
  <c r="B1717" i="16" s="1"/>
  <c r="E1716" i="16"/>
  <c r="D1716" i="16"/>
  <c r="B1716" i="16" s="1"/>
  <c r="E1715" i="16"/>
  <c r="D1715" i="16"/>
  <c r="C1715" i="16" s="1"/>
  <c r="E1714" i="16"/>
  <c r="D1714" i="16"/>
  <c r="E1713" i="16"/>
  <c r="D1713" i="16"/>
  <c r="C1713" i="16" s="1"/>
  <c r="E1712" i="16"/>
  <c r="D1712" i="16"/>
  <c r="E1711" i="16"/>
  <c r="D1711" i="16"/>
  <c r="C1711" i="16" s="1"/>
  <c r="E1710" i="16"/>
  <c r="D1710" i="16"/>
  <c r="E1709" i="16"/>
  <c r="D1709" i="16"/>
  <c r="E1708" i="16"/>
  <c r="D1708" i="16"/>
  <c r="C1708" i="16" s="1"/>
  <c r="E1707" i="16"/>
  <c r="D1707" i="16"/>
  <c r="E1706" i="16"/>
  <c r="D1706" i="16"/>
  <c r="E1705" i="16"/>
  <c r="D1705" i="16"/>
  <c r="B1705" i="16" s="1"/>
  <c r="E1704" i="16"/>
  <c r="D1704" i="16"/>
  <c r="B1704" i="16" s="1"/>
  <c r="E1703" i="16"/>
  <c r="D1703" i="16"/>
  <c r="B1703" i="16" s="1"/>
  <c r="E1702" i="16"/>
  <c r="D1702" i="16"/>
  <c r="B1702" i="16" s="1"/>
  <c r="E1701" i="16"/>
  <c r="D1701" i="16"/>
  <c r="C1701" i="16" s="1"/>
  <c r="E1700" i="16"/>
  <c r="D1700" i="16"/>
  <c r="B1700" i="16" s="1"/>
  <c r="E1699" i="16"/>
  <c r="D1699" i="16"/>
  <c r="C1699" i="16" s="1"/>
  <c r="E1698" i="16"/>
  <c r="D1698" i="16"/>
  <c r="B1698" i="16" s="1"/>
  <c r="E1697" i="16"/>
  <c r="D1697" i="16"/>
  <c r="B1697" i="16" s="1"/>
  <c r="E1696" i="16"/>
  <c r="D1696" i="16"/>
  <c r="B1696" i="16" s="1"/>
  <c r="E1695" i="16"/>
  <c r="D1695" i="16"/>
  <c r="C1695" i="16" s="1"/>
  <c r="E1694" i="16"/>
  <c r="D1694" i="16"/>
  <c r="C1694" i="16" s="1"/>
  <c r="E1693" i="16"/>
  <c r="D1693" i="16"/>
  <c r="E1692" i="16"/>
  <c r="D1692" i="16"/>
  <c r="E1691" i="16"/>
  <c r="D1691" i="16"/>
  <c r="C1691" i="16" s="1"/>
  <c r="E1690" i="16"/>
  <c r="D1690" i="16"/>
  <c r="C1690" i="16" s="1"/>
  <c r="E1689" i="16"/>
  <c r="D1689" i="16"/>
  <c r="C1689" i="16" s="1"/>
  <c r="E1688" i="16"/>
  <c r="D1688" i="16"/>
  <c r="C1688" i="16" s="1"/>
  <c r="E1687" i="16"/>
  <c r="D1687" i="16"/>
  <c r="E1686" i="16"/>
  <c r="D1686" i="16"/>
  <c r="C1686" i="16" s="1"/>
  <c r="E1685" i="16"/>
  <c r="D1685" i="16"/>
  <c r="C1685" i="16" s="1"/>
  <c r="E1684" i="16"/>
  <c r="D1684" i="16"/>
  <c r="B1684" i="16" s="1"/>
  <c r="E1683" i="16"/>
  <c r="D1683" i="16"/>
  <c r="B1683" i="16" s="1"/>
  <c r="E1682" i="16"/>
  <c r="D1682" i="16"/>
  <c r="B1682" i="16" s="1"/>
  <c r="E1681" i="16"/>
  <c r="D1681" i="16"/>
  <c r="B1681" i="16" s="1"/>
  <c r="C1681" i="16"/>
  <c r="E1680" i="16"/>
  <c r="D1680" i="16"/>
  <c r="B1680" i="16" s="1"/>
  <c r="E1679" i="16"/>
  <c r="D1679" i="16"/>
  <c r="C1679" i="16" s="1"/>
  <c r="E1678" i="16"/>
  <c r="D1678" i="16"/>
  <c r="B1678" i="16" s="1"/>
  <c r="E1677" i="16"/>
  <c r="D1677" i="16"/>
  <c r="B1677" i="16" s="1"/>
  <c r="E1676" i="16"/>
  <c r="D1676" i="16"/>
  <c r="B1676" i="16" s="1"/>
  <c r="E1675" i="16"/>
  <c r="D1675" i="16"/>
  <c r="C1675" i="16" s="1"/>
  <c r="E1674" i="16"/>
  <c r="D1674" i="16"/>
  <c r="C1674" i="16" s="1"/>
  <c r="E1673" i="16"/>
  <c r="D1673" i="16"/>
  <c r="C1673" i="16" s="1"/>
  <c r="E1672" i="16"/>
  <c r="D1672" i="16"/>
  <c r="E1671" i="16"/>
  <c r="D1671" i="16"/>
  <c r="E1670" i="16"/>
  <c r="D1670" i="16"/>
  <c r="C1670" i="16" s="1"/>
  <c r="E1669" i="16"/>
  <c r="D1669" i="16"/>
  <c r="E1668" i="16"/>
  <c r="D1668" i="16"/>
  <c r="C1668" i="16" s="1"/>
  <c r="E1667" i="16"/>
  <c r="D1667" i="16"/>
  <c r="E1666" i="16"/>
  <c r="D1666" i="16"/>
  <c r="C1666" i="16" s="1"/>
  <c r="E1665" i="16"/>
  <c r="D1665" i="16"/>
  <c r="C1665" i="16" s="1"/>
  <c r="E1664" i="16"/>
  <c r="D1664" i="16"/>
  <c r="B1664" i="16" s="1"/>
  <c r="E1663" i="16"/>
  <c r="D1663" i="16"/>
  <c r="B1663" i="16" s="1"/>
  <c r="E1662" i="16"/>
  <c r="D1662" i="16"/>
  <c r="C1662" i="16" s="1"/>
  <c r="E1661" i="16"/>
  <c r="D1661" i="16"/>
  <c r="B1661" i="16" s="1"/>
  <c r="E1660" i="16"/>
  <c r="D1660" i="16"/>
  <c r="B1660" i="16" s="1"/>
  <c r="E1659" i="16"/>
  <c r="D1659" i="16"/>
  <c r="C1659" i="16" s="1"/>
  <c r="E1658" i="16"/>
  <c r="D1658" i="16"/>
  <c r="B1658" i="16" s="1"/>
  <c r="E1657" i="16"/>
  <c r="D1657" i="16"/>
  <c r="B1657" i="16" s="1"/>
  <c r="E1656" i="16"/>
  <c r="D1656" i="16"/>
  <c r="E1655" i="16"/>
  <c r="D1655" i="16"/>
  <c r="C1655" i="16" s="1"/>
  <c r="E1654" i="16"/>
  <c r="D1654" i="16"/>
  <c r="C1654" i="16" s="1"/>
  <c r="E1653" i="16"/>
  <c r="D1653" i="16"/>
  <c r="C1653" i="16" s="1"/>
  <c r="E1652" i="16"/>
  <c r="D1652" i="16"/>
  <c r="E1651" i="16"/>
  <c r="D1651" i="16"/>
  <c r="E1650" i="16"/>
  <c r="D1650" i="16"/>
  <c r="E1649" i="16"/>
  <c r="D1649" i="16"/>
  <c r="E1648" i="16"/>
  <c r="D1648" i="16"/>
  <c r="C1648" i="16" s="1"/>
  <c r="E1647" i="16"/>
  <c r="D1647" i="16"/>
  <c r="E1646" i="16"/>
  <c r="D1646" i="16"/>
  <c r="B1646" i="16" s="1"/>
  <c r="E1645" i="16"/>
  <c r="D1645" i="16"/>
  <c r="B1645" i="16" s="1"/>
  <c r="E1644" i="16"/>
  <c r="D1644" i="16"/>
  <c r="E1643" i="16"/>
  <c r="D1643" i="16"/>
  <c r="B1643" i="16" s="1"/>
  <c r="E1642" i="16"/>
  <c r="D1642" i="16"/>
  <c r="B1642" i="16" s="1"/>
  <c r="E1641" i="16"/>
  <c r="D1641" i="16"/>
  <c r="B1641" i="16" s="1"/>
  <c r="E1640" i="16"/>
  <c r="D1640" i="16"/>
  <c r="B1640" i="16" s="1"/>
  <c r="E1639" i="16"/>
  <c r="D1639" i="16"/>
  <c r="E1638" i="16"/>
  <c r="D1638" i="16"/>
  <c r="B1638" i="16" s="1"/>
  <c r="E1637" i="16"/>
  <c r="D1637" i="16"/>
  <c r="E1636" i="16"/>
  <c r="D1636" i="16"/>
  <c r="E1635" i="16"/>
  <c r="D1635" i="16"/>
  <c r="E1634" i="16"/>
  <c r="D1634" i="16"/>
  <c r="B1634" i="16" s="1"/>
  <c r="C1634" i="16"/>
  <c r="E1633" i="16"/>
  <c r="D1633" i="16"/>
  <c r="C1633" i="16" s="1"/>
  <c r="E1632" i="16"/>
  <c r="D1632" i="16"/>
  <c r="E1631" i="16"/>
  <c r="D1631" i="16"/>
  <c r="E1630" i="16"/>
  <c r="D1630" i="16"/>
  <c r="B1630" i="16" s="1"/>
  <c r="E1629" i="16"/>
  <c r="D1629" i="16"/>
  <c r="B1629" i="16" s="1"/>
  <c r="E1628" i="16"/>
  <c r="D1628" i="16"/>
  <c r="E1627" i="16"/>
  <c r="D1627" i="16"/>
  <c r="E1626" i="16"/>
  <c r="D1626" i="16"/>
  <c r="B1626" i="16" s="1"/>
  <c r="E1625" i="16"/>
  <c r="D1625" i="16"/>
  <c r="B1625" i="16" s="1"/>
  <c r="E1624" i="16"/>
  <c r="D1624" i="16"/>
  <c r="E1623" i="16"/>
  <c r="D1623" i="16"/>
  <c r="E1622" i="16"/>
  <c r="D1622" i="16"/>
  <c r="E1621" i="16"/>
  <c r="D1621" i="16"/>
  <c r="B1621" i="16" s="1"/>
  <c r="E1620" i="16"/>
  <c r="D1620" i="16"/>
  <c r="E1619" i="16"/>
  <c r="D1619" i="16"/>
  <c r="E1618" i="16"/>
  <c r="D1618" i="16"/>
  <c r="E1617" i="16"/>
  <c r="D1617" i="16"/>
  <c r="B1617" i="16" s="1"/>
  <c r="E1616" i="16"/>
  <c r="D1616" i="16"/>
  <c r="E1615" i="16"/>
  <c r="D1615" i="16"/>
  <c r="E1614" i="16"/>
  <c r="D1614" i="16"/>
  <c r="B1614" i="16" s="1"/>
  <c r="E1613" i="16"/>
  <c r="D1613" i="16"/>
  <c r="C1613" i="16" s="1"/>
  <c r="E1612" i="16"/>
  <c r="D1612" i="16"/>
  <c r="E1611" i="16"/>
  <c r="D1611" i="16"/>
  <c r="E1610" i="16"/>
  <c r="D1610" i="16"/>
  <c r="E1609" i="16"/>
  <c r="D1609" i="16"/>
  <c r="B1609" i="16" s="1"/>
  <c r="E1608" i="16"/>
  <c r="D1608" i="16"/>
  <c r="E1607" i="16"/>
  <c r="D1607" i="16"/>
  <c r="E1606" i="16"/>
  <c r="D1606" i="16"/>
  <c r="B1606" i="16" s="1"/>
  <c r="E1605" i="16"/>
  <c r="D1605" i="16"/>
  <c r="B1605" i="16" s="1"/>
  <c r="E1604" i="16"/>
  <c r="D1604" i="16"/>
  <c r="E1603" i="16"/>
  <c r="D1603" i="16"/>
  <c r="C1603" i="16" s="1"/>
  <c r="E1602" i="16"/>
  <c r="D1602" i="16"/>
  <c r="E1601" i="16"/>
  <c r="D1601" i="16"/>
  <c r="E1600" i="16"/>
  <c r="D1600" i="16"/>
  <c r="E1599" i="16"/>
  <c r="D1599" i="16"/>
  <c r="E1598" i="16"/>
  <c r="D1598" i="16"/>
  <c r="C1598" i="16" s="1"/>
  <c r="E1597" i="16"/>
  <c r="D1597" i="16"/>
  <c r="C1597" i="16" s="1"/>
  <c r="E1596" i="16"/>
  <c r="D1596" i="16"/>
  <c r="C1596" i="16" s="1"/>
  <c r="E1595" i="16"/>
  <c r="D1595" i="16"/>
  <c r="B1595" i="16" s="1"/>
  <c r="E1594" i="16"/>
  <c r="D1594" i="16"/>
  <c r="B1594" i="16" s="1"/>
  <c r="E1593" i="16"/>
  <c r="D1593" i="16"/>
  <c r="B1593" i="16" s="1"/>
  <c r="E1592" i="16"/>
  <c r="D1592" i="16"/>
  <c r="B1592" i="16" s="1"/>
  <c r="E1591" i="16"/>
  <c r="D1591" i="16"/>
  <c r="C1591" i="16" s="1"/>
  <c r="E1590" i="16"/>
  <c r="D1590" i="16"/>
  <c r="B1590" i="16" s="1"/>
  <c r="E1589" i="16"/>
  <c r="D1589" i="16"/>
  <c r="B1589" i="16" s="1"/>
  <c r="E1588" i="16"/>
  <c r="D1588" i="16"/>
  <c r="E1587" i="16"/>
  <c r="D1587" i="16"/>
  <c r="E1586" i="16"/>
  <c r="D1586" i="16"/>
  <c r="C1586" i="16" s="1"/>
  <c r="E1585" i="16"/>
  <c r="D1585" i="16"/>
  <c r="C1585" i="16" s="1"/>
  <c r="E1584" i="16"/>
  <c r="D1584" i="16"/>
  <c r="C1584" i="16" s="1"/>
  <c r="E1583" i="16"/>
  <c r="D1583" i="16"/>
  <c r="B1583" i="16" s="1"/>
  <c r="E1582" i="16"/>
  <c r="D1582" i="16"/>
  <c r="B1582" i="16" s="1"/>
  <c r="E1581" i="16"/>
  <c r="D1581" i="16"/>
  <c r="B1581" i="16" s="1"/>
  <c r="E1580" i="16"/>
  <c r="D1580" i="16"/>
  <c r="C1580" i="16" s="1"/>
  <c r="E1579" i="16"/>
  <c r="D1579" i="16"/>
  <c r="C1579" i="16" s="1"/>
  <c r="E1578" i="16"/>
  <c r="D1578" i="16"/>
  <c r="E1577" i="16"/>
  <c r="D1577" i="16"/>
  <c r="C1577" i="16" s="1"/>
  <c r="E1576" i="16"/>
  <c r="D1576" i="16"/>
  <c r="B1576" i="16" s="1"/>
  <c r="E1575" i="16"/>
  <c r="D1575" i="16"/>
  <c r="C1575" i="16" s="1"/>
  <c r="E1574" i="16"/>
  <c r="D1574" i="16"/>
  <c r="B1574" i="16" s="1"/>
  <c r="E1573" i="16"/>
  <c r="D1573" i="16"/>
  <c r="C1573" i="16" s="1"/>
  <c r="E1572" i="16"/>
  <c r="D1572" i="16"/>
  <c r="E1571" i="16"/>
  <c r="D1571" i="16"/>
  <c r="B1571" i="16" s="1"/>
  <c r="C1571" i="16"/>
  <c r="E1570" i="16"/>
  <c r="D1570" i="16"/>
  <c r="E1569" i="16"/>
  <c r="D1569" i="16"/>
  <c r="C1569" i="16" s="1"/>
  <c r="B1569" i="16"/>
  <c r="E1568" i="16"/>
  <c r="D1568" i="16"/>
  <c r="C1568" i="16" s="1"/>
  <c r="E1567" i="16"/>
  <c r="D1567" i="16"/>
  <c r="B1567" i="16" s="1"/>
  <c r="C1567" i="16"/>
  <c r="E1566" i="16"/>
  <c r="D1566" i="16"/>
  <c r="B1566" i="16" s="1"/>
  <c r="E1565" i="16"/>
  <c r="D1565" i="16"/>
  <c r="B1565" i="16" s="1"/>
  <c r="E1564" i="16"/>
  <c r="D1564" i="16"/>
  <c r="C1564" i="16" s="1"/>
  <c r="E1563" i="16"/>
  <c r="D1563" i="16"/>
  <c r="E1562" i="16"/>
  <c r="D1562" i="16"/>
  <c r="C1562" i="16" s="1"/>
  <c r="E1561" i="16"/>
  <c r="D1561" i="16"/>
  <c r="B1561" i="16" s="1"/>
  <c r="E1560" i="16"/>
  <c r="D1560" i="16"/>
  <c r="C1560" i="16" s="1"/>
  <c r="E1559" i="16"/>
  <c r="D1559" i="16"/>
  <c r="B1559" i="16" s="1"/>
  <c r="E1558" i="16"/>
  <c r="D1558" i="16"/>
  <c r="B1558" i="16" s="1"/>
  <c r="E1557" i="16"/>
  <c r="D1557" i="16"/>
  <c r="B1557" i="16" s="1"/>
  <c r="E1556" i="16"/>
  <c r="D1556" i="16"/>
  <c r="E1555" i="16"/>
  <c r="D1555" i="16"/>
  <c r="C1555" i="16" s="1"/>
  <c r="E1554" i="16"/>
  <c r="D1554" i="16"/>
  <c r="C1554" i="16" s="1"/>
  <c r="E1553" i="16"/>
  <c r="D1553" i="16"/>
  <c r="B1553" i="16" s="1"/>
  <c r="E1552" i="16"/>
  <c r="D1552" i="16"/>
  <c r="E1551" i="16"/>
  <c r="D1551" i="16"/>
  <c r="E1550" i="16"/>
  <c r="D1550" i="16"/>
  <c r="C1550" i="16" s="1"/>
  <c r="E1549" i="16"/>
  <c r="D1549" i="16"/>
  <c r="B1549" i="16" s="1"/>
  <c r="E1548" i="16"/>
  <c r="D1548" i="16"/>
  <c r="E1547" i="16"/>
  <c r="D1547" i="16"/>
  <c r="C1547" i="16" s="1"/>
  <c r="E1546" i="16"/>
  <c r="D1546" i="16"/>
  <c r="C1546" i="16" s="1"/>
  <c r="E1545" i="16"/>
  <c r="D1545" i="16"/>
  <c r="C1545" i="16" s="1"/>
  <c r="E1544" i="16"/>
  <c r="D1544" i="16"/>
  <c r="E1543" i="16"/>
  <c r="D1543" i="16"/>
  <c r="C1543" i="16" s="1"/>
  <c r="E1542" i="16"/>
  <c r="D1542" i="16"/>
  <c r="B1542" i="16" s="1"/>
  <c r="E1541" i="16"/>
  <c r="D1541" i="16"/>
  <c r="C1541" i="16" s="1"/>
  <c r="E1540" i="16"/>
  <c r="D1540" i="16"/>
  <c r="E1539" i="16"/>
  <c r="D1539" i="16"/>
  <c r="E1538" i="16"/>
  <c r="D1538" i="16"/>
  <c r="B1538" i="16" s="1"/>
  <c r="E1537" i="16"/>
  <c r="D1537" i="16"/>
  <c r="B1537" i="16" s="1"/>
  <c r="E1536" i="16"/>
  <c r="D1536" i="16"/>
  <c r="E1535" i="16"/>
  <c r="D1535" i="16"/>
  <c r="C1535" i="16" s="1"/>
  <c r="E1534" i="16"/>
  <c r="D1534" i="16"/>
  <c r="C1534" i="16" s="1"/>
  <c r="E1533" i="16"/>
  <c r="D1533" i="16"/>
  <c r="B1533" i="16" s="1"/>
  <c r="E1532" i="16"/>
  <c r="D1532" i="16"/>
  <c r="E1531" i="16"/>
  <c r="D1531" i="16"/>
  <c r="C1531" i="16" s="1"/>
  <c r="E1530" i="16"/>
  <c r="D1530" i="16"/>
  <c r="C1530" i="16" s="1"/>
  <c r="E1529" i="16"/>
  <c r="D1529" i="16"/>
  <c r="B1529" i="16" s="1"/>
  <c r="E1528" i="16"/>
  <c r="D1528" i="16"/>
  <c r="E1527" i="16"/>
  <c r="D1527" i="16"/>
  <c r="C1527" i="16" s="1"/>
  <c r="E1526" i="16"/>
  <c r="D1526" i="16"/>
  <c r="C1526" i="16" s="1"/>
  <c r="E1525" i="16"/>
  <c r="D1525" i="16"/>
  <c r="C1525" i="16" s="1"/>
  <c r="E1524" i="16"/>
  <c r="D1524" i="16"/>
  <c r="E1523" i="16"/>
  <c r="D1523" i="16"/>
  <c r="E1522" i="16"/>
  <c r="D1522" i="16"/>
  <c r="C1522" i="16" s="1"/>
  <c r="E1521" i="16"/>
  <c r="D1521" i="16"/>
  <c r="B1521" i="16" s="1"/>
  <c r="E1520" i="16"/>
  <c r="D1520" i="16"/>
  <c r="E1519" i="16"/>
  <c r="D1519" i="16"/>
  <c r="B1519" i="16" s="1"/>
  <c r="E1518" i="16"/>
  <c r="D1518" i="16"/>
  <c r="B1518" i="16" s="1"/>
  <c r="E1517" i="16"/>
  <c r="D1517" i="16"/>
  <c r="B1517" i="16" s="1"/>
  <c r="E1516" i="16"/>
  <c r="D1516" i="16"/>
  <c r="E1515" i="16"/>
  <c r="D1515" i="16"/>
  <c r="C1515" i="16" s="1"/>
  <c r="E1514" i="16"/>
  <c r="D1514" i="16"/>
  <c r="B1514" i="16" s="1"/>
  <c r="E1513" i="16"/>
  <c r="D1513" i="16"/>
  <c r="B1513" i="16" s="1"/>
  <c r="E1512" i="16"/>
  <c r="D1512" i="16"/>
  <c r="E1511" i="16"/>
  <c r="D1511" i="16"/>
  <c r="C1511" i="16" s="1"/>
  <c r="E1510" i="16"/>
  <c r="D1510" i="16"/>
  <c r="C1510" i="16" s="1"/>
  <c r="E1509" i="16"/>
  <c r="D1509" i="16"/>
  <c r="B1509" i="16" s="1"/>
  <c r="E1508" i="16"/>
  <c r="D1508" i="16"/>
  <c r="E1507" i="16"/>
  <c r="D1507" i="16"/>
  <c r="C1507" i="16" s="1"/>
  <c r="E1506" i="16"/>
  <c r="D1506" i="16"/>
  <c r="B1506" i="16" s="1"/>
  <c r="E1505" i="16"/>
  <c r="D1505" i="16"/>
  <c r="C1505" i="16" s="1"/>
  <c r="E1504" i="16"/>
  <c r="D1504" i="16"/>
  <c r="E1503" i="16"/>
  <c r="D1503" i="16"/>
  <c r="C1503" i="16" s="1"/>
  <c r="E1502" i="16"/>
  <c r="D1502" i="16"/>
  <c r="B1502" i="16" s="1"/>
  <c r="E1501" i="16"/>
  <c r="D1501" i="16"/>
  <c r="E1500" i="16"/>
  <c r="D1500" i="16"/>
  <c r="E1499" i="16"/>
  <c r="D1499" i="16"/>
  <c r="B1499" i="16" s="1"/>
  <c r="E1498" i="16"/>
  <c r="D1498" i="16"/>
  <c r="B1498" i="16" s="1"/>
  <c r="E1497" i="16"/>
  <c r="D1497" i="16"/>
  <c r="E1496" i="16"/>
  <c r="D1496" i="16"/>
  <c r="E1495" i="16"/>
  <c r="D1495" i="16"/>
  <c r="E1494" i="16"/>
  <c r="D1494" i="16"/>
  <c r="E1493" i="16"/>
  <c r="D1493" i="16"/>
  <c r="E1492" i="16"/>
  <c r="D1492" i="16"/>
  <c r="E1491" i="16"/>
  <c r="D1491" i="16"/>
  <c r="C1491" i="16" s="1"/>
  <c r="E1490" i="16"/>
  <c r="D1490" i="16"/>
  <c r="E1489" i="16"/>
  <c r="D1489" i="16"/>
  <c r="B1489" i="16" s="1"/>
  <c r="E1488" i="16"/>
  <c r="D1488" i="16"/>
  <c r="E1487" i="16"/>
  <c r="D1487" i="16"/>
  <c r="C1487" i="16" s="1"/>
  <c r="E1486" i="16"/>
  <c r="D1486" i="16"/>
  <c r="B1486" i="16" s="1"/>
  <c r="E1485" i="16"/>
  <c r="D1485" i="16"/>
  <c r="E1484" i="16"/>
  <c r="D1484" i="16"/>
  <c r="E1483" i="16"/>
  <c r="D1483" i="16"/>
  <c r="C1483" i="16" s="1"/>
  <c r="E1482" i="16"/>
  <c r="D1482" i="16"/>
  <c r="E1481" i="16"/>
  <c r="D1481" i="16"/>
  <c r="E1480" i="16"/>
  <c r="D1480" i="16"/>
  <c r="E1479" i="16"/>
  <c r="D1479" i="16"/>
  <c r="C1479" i="16" s="1"/>
  <c r="E1478" i="16"/>
  <c r="D1478" i="16"/>
  <c r="E1477" i="16"/>
  <c r="D1477" i="16"/>
  <c r="C1477" i="16" s="1"/>
  <c r="E1476" i="16"/>
  <c r="D1476" i="16"/>
  <c r="E1475" i="16"/>
  <c r="D1475" i="16"/>
  <c r="E1474" i="16"/>
  <c r="D1474" i="16"/>
  <c r="B1474" i="16" s="1"/>
  <c r="E1473" i="16"/>
  <c r="D1473" i="16"/>
  <c r="E1472" i="16"/>
  <c r="D1472" i="16"/>
  <c r="E1471" i="16"/>
  <c r="D1471" i="16"/>
  <c r="E1470" i="16"/>
  <c r="D1470" i="16"/>
  <c r="E1469" i="16"/>
  <c r="D1469" i="16"/>
  <c r="B1469" i="16" s="1"/>
  <c r="E1468" i="16"/>
  <c r="D1468" i="16"/>
  <c r="E1467" i="16"/>
  <c r="D1467" i="16"/>
  <c r="E1466" i="16"/>
  <c r="D1466" i="16"/>
  <c r="B1466" i="16" s="1"/>
  <c r="E1465" i="16"/>
  <c r="D1465" i="16"/>
  <c r="E1464" i="16"/>
  <c r="D1464" i="16"/>
  <c r="B1464" i="16" s="1"/>
  <c r="E1463" i="16"/>
  <c r="D1463" i="16"/>
  <c r="E1462" i="16"/>
  <c r="D1462" i="16"/>
  <c r="B1462" i="16" s="1"/>
  <c r="E1461" i="16"/>
  <c r="D1461" i="16"/>
  <c r="E1460" i="16"/>
  <c r="D1460" i="16"/>
  <c r="E1459" i="16"/>
  <c r="D1459" i="16"/>
  <c r="B1459" i="16" s="1"/>
  <c r="E1458" i="16"/>
  <c r="D1458" i="16"/>
  <c r="C1458" i="16" s="1"/>
  <c r="E1457" i="16"/>
  <c r="D1457" i="16"/>
  <c r="C1457" i="16" s="1"/>
  <c r="E1456" i="16"/>
  <c r="D1456" i="16"/>
  <c r="B1456" i="16" s="1"/>
  <c r="C1456" i="16"/>
  <c r="E1455" i="16"/>
  <c r="D1455" i="16"/>
  <c r="C1455" i="16" s="1"/>
  <c r="E1454" i="16"/>
  <c r="D1454" i="16"/>
  <c r="E1453" i="16"/>
  <c r="D1453" i="16"/>
  <c r="C1453" i="16" s="1"/>
  <c r="E1452" i="16"/>
  <c r="D1452" i="16"/>
  <c r="B1452" i="16" s="1"/>
  <c r="E1451" i="16"/>
  <c r="D1451" i="16"/>
  <c r="E1450" i="16"/>
  <c r="D1450" i="16"/>
  <c r="B1450" i="16" s="1"/>
  <c r="E1449" i="16"/>
  <c r="D1449" i="16"/>
  <c r="E1448" i="16"/>
  <c r="D1448" i="16"/>
  <c r="B1448" i="16" s="1"/>
  <c r="C1448" i="16"/>
  <c r="E1447" i="16"/>
  <c r="D1447" i="16"/>
  <c r="E1446" i="16"/>
  <c r="D1446" i="16"/>
  <c r="C1446" i="16" s="1"/>
  <c r="E1445" i="16"/>
  <c r="D1445" i="16"/>
  <c r="C1445" i="16" s="1"/>
  <c r="E1444" i="16"/>
  <c r="D1444" i="16"/>
  <c r="E1443" i="16"/>
  <c r="D1443" i="16"/>
  <c r="E1442" i="16"/>
  <c r="D1442" i="16"/>
  <c r="E1441" i="16"/>
  <c r="D1441" i="16"/>
  <c r="B1441" i="16" s="1"/>
  <c r="E1440" i="16"/>
  <c r="D1440" i="16"/>
  <c r="C1440" i="16" s="1"/>
  <c r="E1439" i="16"/>
  <c r="D1439" i="16"/>
  <c r="C1439" i="16" s="1"/>
  <c r="E1438" i="16"/>
  <c r="D1438" i="16"/>
  <c r="C1438" i="16" s="1"/>
  <c r="E1437" i="16"/>
  <c r="D1437" i="16"/>
  <c r="B1437" i="16" s="1"/>
  <c r="E1436" i="16"/>
  <c r="D1436" i="16"/>
  <c r="B1436" i="16" s="1"/>
  <c r="E1435" i="16"/>
  <c r="D1435" i="16"/>
  <c r="E1434" i="16"/>
  <c r="D1434" i="16"/>
  <c r="E1433" i="16"/>
  <c r="D1433" i="16"/>
  <c r="E1432" i="16"/>
  <c r="D1432" i="16"/>
  <c r="E1431" i="16"/>
  <c r="D1431" i="16"/>
  <c r="C1431" i="16" s="1"/>
  <c r="E1430" i="16"/>
  <c r="D1430" i="16"/>
  <c r="C1430" i="16" s="1"/>
  <c r="E1429" i="16"/>
  <c r="D1429" i="16"/>
  <c r="E1428" i="16"/>
  <c r="D1428" i="16"/>
  <c r="C1428" i="16" s="1"/>
  <c r="E1427" i="16"/>
  <c r="D1427" i="16"/>
  <c r="E1426" i="16"/>
  <c r="D1426" i="16"/>
  <c r="C1426" i="16" s="1"/>
  <c r="E1425" i="16"/>
  <c r="D1425" i="16"/>
  <c r="B1425" i="16" s="1"/>
  <c r="E1424" i="16"/>
  <c r="D1424" i="16"/>
  <c r="C1424" i="16" s="1"/>
  <c r="E1423" i="16"/>
  <c r="D1423" i="16"/>
  <c r="B1423" i="16" s="1"/>
  <c r="E1422" i="16"/>
  <c r="D1422" i="16"/>
  <c r="B1422" i="16" s="1"/>
  <c r="E1421" i="16"/>
  <c r="D1421" i="16"/>
  <c r="B1421" i="16" s="1"/>
  <c r="E1420" i="16"/>
  <c r="D1420" i="16"/>
  <c r="C1420" i="16" s="1"/>
  <c r="E1419" i="16"/>
  <c r="D1419" i="16"/>
  <c r="C1419" i="16" s="1"/>
  <c r="E1418" i="16"/>
  <c r="D1418" i="16"/>
  <c r="B1418" i="16" s="1"/>
  <c r="E1417" i="16"/>
  <c r="D1417" i="16"/>
  <c r="E1416" i="16"/>
  <c r="D1416" i="16"/>
  <c r="E1415" i="16"/>
  <c r="D1415" i="16"/>
  <c r="E1414" i="16"/>
  <c r="D1414" i="16"/>
  <c r="E1413" i="16"/>
  <c r="D1413" i="16"/>
  <c r="E1412" i="16"/>
  <c r="D1412" i="16"/>
  <c r="C1412" i="16" s="1"/>
  <c r="E1411" i="16"/>
  <c r="D1411" i="16"/>
  <c r="B1411" i="16" s="1"/>
  <c r="E1410" i="16"/>
  <c r="D1410" i="16"/>
  <c r="C1410" i="16" s="1"/>
  <c r="E1409" i="16"/>
  <c r="D1409" i="16"/>
  <c r="B1409" i="16" s="1"/>
  <c r="F1409" i="16" s="1"/>
  <c r="E1408" i="16"/>
  <c r="D1408" i="16"/>
  <c r="B1408" i="16" s="1"/>
  <c r="E1407" i="16"/>
  <c r="D1407" i="16"/>
  <c r="C1407" i="16" s="1"/>
  <c r="E1406" i="16"/>
  <c r="D1406" i="16"/>
  <c r="C1406" i="16" s="1"/>
  <c r="E1405" i="16"/>
  <c r="D1405" i="16"/>
  <c r="E1404" i="16"/>
  <c r="D1404" i="16"/>
  <c r="E1403" i="16"/>
  <c r="D1403" i="16"/>
  <c r="B1403" i="16" s="1"/>
  <c r="E1402" i="16"/>
  <c r="D1402" i="16"/>
  <c r="C1402" i="16" s="1"/>
  <c r="E1401" i="16"/>
  <c r="C1401" i="16" s="1"/>
  <c r="D1401" i="16"/>
  <c r="E1400" i="16"/>
  <c r="D1400" i="16"/>
  <c r="E1399" i="16"/>
  <c r="D1399" i="16"/>
  <c r="E1398" i="16"/>
  <c r="D1398" i="16"/>
  <c r="E1397" i="16"/>
  <c r="D1397" i="16"/>
  <c r="E1396" i="16"/>
  <c r="D1396" i="16"/>
  <c r="E1395" i="16"/>
  <c r="D1395" i="16"/>
  <c r="E1394" i="16"/>
  <c r="D1394" i="16"/>
  <c r="C1394" i="16" s="1"/>
  <c r="E1393" i="16"/>
  <c r="D1393" i="16"/>
  <c r="B1393" i="16" s="1"/>
  <c r="E1392" i="16"/>
  <c r="D1392" i="16"/>
  <c r="E1391" i="16"/>
  <c r="D1391" i="16"/>
  <c r="C1391" i="16" s="1"/>
  <c r="E1390" i="16"/>
  <c r="D1390" i="16"/>
  <c r="B1390" i="16" s="1"/>
  <c r="E1389" i="16"/>
  <c r="D1389" i="16"/>
  <c r="B1389" i="16" s="1"/>
  <c r="E1388" i="16"/>
  <c r="D1388" i="16"/>
  <c r="E1387" i="16"/>
  <c r="D1387" i="16"/>
  <c r="B1387" i="16" s="1"/>
  <c r="E1386" i="16"/>
  <c r="D1386" i="16"/>
  <c r="C1386" i="16" s="1"/>
  <c r="E1385" i="16"/>
  <c r="D1385" i="16"/>
  <c r="E1384" i="16"/>
  <c r="D1384" i="16"/>
  <c r="B1384" i="16" s="1"/>
  <c r="E1383" i="16"/>
  <c r="D1383" i="16"/>
  <c r="C1383" i="16" s="1"/>
  <c r="E1382" i="16"/>
  <c r="D1382" i="16"/>
  <c r="B1382" i="16" s="1"/>
  <c r="E1381" i="16"/>
  <c r="D1381" i="16"/>
  <c r="E1380" i="16"/>
  <c r="D1380" i="16"/>
  <c r="E1379" i="16"/>
  <c r="D1379" i="16"/>
  <c r="E1378" i="16"/>
  <c r="D1378" i="16"/>
  <c r="E1377" i="16"/>
  <c r="D1377" i="16"/>
  <c r="C1377" i="16" s="1"/>
  <c r="E1376" i="16"/>
  <c r="D1376" i="16"/>
  <c r="B1376" i="16" s="1"/>
  <c r="E1375" i="16"/>
  <c r="D1375" i="16"/>
  <c r="C1375" i="16" s="1"/>
  <c r="E1374" i="16"/>
  <c r="D1374" i="16"/>
  <c r="E1373" i="16"/>
  <c r="D1373" i="16"/>
  <c r="E1372" i="16"/>
  <c r="D1372" i="16"/>
  <c r="E1371" i="16"/>
  <c r="D1371" i="16"/>
  <c r="B1371" i="16" s="1"/>
  <c r="E1370" i="16"/>
  <c r="D1370" i="16"/>
  <c r="B1370" i="16" s="1"/>
  <c r="E1369" i="16"/>
  <c r="D1369" i="16"/>
  <c r="E1368" i="16"/>
  <c r="D1368" i="16"/>
  <c r="E1367" i="16"/>
  <c r="D1367" i="16"/>
  <c r="C1367" i="16" s="1"/>
  <c r="E1366" i="16"/>
  <c r="D1366" i="16"/>
  <c r="E1365" i="16"/>
  <c r="D1365" i="16"/>
  <c r="C1365" i="16" s="1"/>
  <c r="E1364" i="16"/>
  <c r="D1364" i="16"/>
  <c r="B1364" i="16" s="1"/>
  <c r="E1363" i="16"/>
  <c r="D1363" i="16"/>
  <c r="E1362" i="16"/>
  <c r="D1362" i="16"/>
  <c r="B1362" i="16" s="1"/>
  <c r="E1361" i="16"/>
  <c r="D1361" i="16"/>
  <c r="E1360" i="16"/>
  <c r="D1360" i="16"/>
  <c r="C1360" i="16" s="1"/>
  <c r="E1359" i="16"/>
  <c r="D1359" i="16"/>
  <c r="B1359" i="16" s="1"/>
  <c r="E1358" i="16"/>
  <c r="D1358" i="16"/>
  <c r="E1357" i="16"/>
  <c r="D1357" i="16"/>
  <c r="B1357" i="16" s="1"/>
  <c r="E1356" i="16"/>
  <c r="D1356" i="16"/>
  <c r="B1356" i="16" s="1"/>
  <c r="E1355" i="16"/>
  <c r="D1355" i="16"/>
  <c r="B1355" i="16" s="1"/>
  <c r="E1354" i="16"/>
  <c r="D1354" i="16"/>
  <c r="B1354" i="16" s="1"/>
  <c r="E1353" i="16"/>
  <c r="D1353" i="16"/>
  <c r="E1352" i="16"/>
  <c r="D1352" i="16"/>
  <c r="B1352" i="16" s="1"/>
  <c r="E1351" i="16"/>
  <c r="D1351" i="16"/>
  <c r="B1351" i="16" s="1"/>
  <c r="E1350" i="16"/>
  <c r="D1350" i="16"/>
  <c r="E1349" i="16"/>
  <c r="D1349" i="16"/>
  <c r="C1349" i="16" s="1"/>
  <c r="E1348" i="16"/>
  <c r="D1348" i="16"/>
  <c r="C1348" i="16" s="1"/>
  <c r="E1347" i="16"/>
  <c r="D1347" i="16"/>
  <c r="B1347" i="16" s="1"/>
  <c r="E1346" i="16"/>
  <c r="D1346" i="16"/>
  <c r="B1346" i="16" s="1"/>
  <c r="E1345" i="16"/>
  <c r="D1345" i="16"/>
  <c r="B1345" i="16" s="1"/>
  <c r="E1344" i="16"/>
  <c r="D1344" i="16"/>
  <c r="E1343" i="16"/>
  <c r="D1343" i="16"/>
  <c r="E1342" i="16"/>
  <c r="D1342" i="16"/>
  <c r="B1342" i="16" s="1"/>
  <c r="E1341" i="16"/>
  <c r="D1341" i="16"/>
  <c r="B1341" i="16" s="1"/>
  <c r="E1340" i="16"/>
  <c r="D1340" i="16"/>
  <c r="B1340" i="16" s="1"/>
  <c r="E1339" i="16"/>
  <c r="D1339" i="16"/>
  <c r="B1339" i="16" s="1"/>
  <c r="E1338" i="16"/>
  <c r="D1338" i="16"/>
  <c r="E1337" i="16"/>
  <c r="D1337" i="16"/>
  <c r="C1337" i="16" s="1"/>
  <c r="E1336" i="16"/>
  <c r="D1336" i="16"/>
  <c r="C1336" i="16" s="1"/>
  <c r="E1335" i="16"/>
  <c r="D1335" i="16"/>
  <c r="E1334" i="16"/>
  <c r="D1334" i="16"/>
  <c r="E1333" i="16"/>
  <c r="D1333" i="16"/>
  <c r="E1332" i="16"/>
  <c r="D1332" i="16"/>
  <c r="C1332" i="16" s="1"/>
  <c r="E1331" i="16"/>
  <c r="D1331" i="16"/>
  <c r="B1331" i="16" s="1"/>
  <c r="E1330" i="16"/>
  <c r="D1330" i="16"/>
  <c r="E1329" i="16"/>
  <c r="D1329" i="16"/>
  <c r="E1328" i="16"/>
  <c r="D1328" i="16"/>
  <c r="C1328" i="16" s="1"/>
  <c r="E1327" i="16"/>
  <c r="D1327" i="16"/>
  <c r="B1327" i="16" s="1"/>
  <c r="E1326" i="16"/>
  <c r="D1326" i="16"/>
  <c r="B1326" i="16" s="1"/>
  <c r="E1325" i="16"/>
  <c r="D1325" i="16"/>
  <c r="C1325" i="16" s="1"/>
  <c r="B1325" i="16"/>
  <c r="E1324" i="16"/>
  <c r="D1324" i="16"/>
  <c r="C1324" i="16" s="1"/>
  <c r="E1323" i="16"/>
  <c r="D1323" i="16"/>
  <c r="E1322" i="16"/>
  <c r="D1322" i="16"/>
  <c r="B1322" i="16" s="1"/>
  <c r="E1321" i="16"/>
  <c r="D1321" i="16"/>
  <c r="C1321" i="16" s="1"/>
  <c r="E1320" i="16"/>
  <c r="D1320" i="16"/>
  <c r="C1320" i="16" s="1"/>
  <c r="E1319" i="16"/>
  <c r="D1319" i="16"/>
  <c r="E1318" i="16"/>
  <c r="D1318" i="16"/>
  <c r="E1317" i="16"/>
  <c r="D1317" i="16"/>
  <c r="C1317" i="16" s="1"/>
  <c r="E1316" i="16"/>
  <c r="D1316" i="16"/>
  <c r="C1316" i="16" s="1"/>
  <c r="E1315" i="16"/>
  <c r="D1315" i="16"/>
  <c r="B1315" i="16" s="1"/>
  <c r="E1314" i="16"/>
  <c r="D1314" i="16"/>
  <c r="E1313" i="16"/>
  <c r="D1313" i="16"/>
  <c r="E1312" i="16"/>
  <c r="D1312" i="16"/>
  <c r="C1312" i="16" s="1"/>
  <c r="E1311" i="16"/>
  <c r="D1311" i="16"/>
  <c r="B1311" i="16" s="1"/>
  <c r="E1310" i="16"/>
  <c r="D1310" i="16"/>
  <c r="B1310" i="16" s="1"/>
  <c r="E1309" i="16"/>
  <c r="D1309" i="16"/>
  <c r="E1308" i="16"/>
  <c r="D1308" i="16"/>
  <c r="C1308" i="16" s="1"/>
  <c r="E1307" i="16"/>
  <c r="D1307" i="16"/>
  <c r="B1307" i="16" s="1"/>
  <c r="E1306" i="16"/>
  <c r="D1306" i="16"/>
  <c r="B1306" i="16" s="1"/>
  <c r="E1305" i="16"/>
  <c r="D1305" i="16"/>
  <c r="C1305" i="16" s="1"/>
  <c r="E1304" i="16"/>
  <c r="D1304" i="16"/>
  <c r="C1304" i="16" s="1"/>
  <c r="E1303" i="16"/>
  <c r="D1303" i="16"/>
  <c r="E1302" i="16"/>
  <c r="D1302" i="16"/>
  <c r="B1302" i="16" s="1"/>
  <c r="E1301" i="16"/>
  <c r="D1301" i="16"/>
  <c r="C1301" i="16" s="1"/>
  <c r="E1300" i="16"/>
  <c r="D1300" i="16"/>
  <c r="C1300" i="16" s="1"/>
  <c r="E1299" i="16"/>
  <c r="D1299" i="16"/>
  <c r="E1298" i="16"/>
  <c r="D1298" i="16"/>
  <c r="E1297" i="16"/>
  <c r="D1297" i="16"/>
  <c r="C1297" i="16" s="1"/>
  <c r="E1296" i="16"/>
  <c r="D1296" i="16"/>
  <c r="C1296" i="16" s="1"/>
  <c r="E1295" i="16"/>
  <c r="D1295" i="16"/>
  <c r="B1295" i="16" s="1"/>
  <c r="E1294" i="16"/>
  <c r="D1294" i="16"/>
  <c r="E1293" i="16"/>
  <c r="D1293" i="16"/>
  <c r="E1292" i="16"/>
  <c r="D1292" i="16"/>
  <c r="C1292" i="16" s="1"/>
  <c r="E1291" i="16"/>
  <c r="D1291" i="16"/>
  <c r="B1291" i="16" s="1"/>
  <c r="E1290" i="16"/>
  <c r="D1290" i="16"/>
  <c r="B1290" i="16" s="1"/>
  <c r="E1289" i="16"/>
  <c r="D1289" i="16"/>
  <c r="E1288" i="16"/>
  <c r="D1288" i="16"/>
  <c r="C1288" i="16" s="1"/>
  <c r="E1287" i="16"/>
  <c r="D1287" i="16"/>
  <c r="B1287" i="16" s="1"/>
  <c r="E1286" i="16"/>
  <c r="D1286" i="16"/>
  <c r="B1286" i="16" s="1"/>
  <c r="E1285" i="16"/>
  <c r="D1285" i="16"/>
  <c r="C1285" i="16" s="1"/>
  <c r="E1284" i="16"/>
  <c r="D1284" i="16"/>
  <c r="C1284" i="16" s="1"/>
  <c r="E1283" i="16"/>
  <c r="D1283" i="16"/>
  <c r="E1282" i="16"/>
  <c r="D1282" i="16"/>
  <c r="B1282" i="16" s="1"/>
  <c r="E1281" i="16"/>
  <c r="D1281" i="16"/>
  <c r="C1281" i="16" s="1"/>
  <c r="E1280" i="16"/>
  <c r="D1280" i="16"/>
  <c r="C1280" i="16" s="1"/>
  <c r="E1279" i="16"/>
  <c r="D1279" i="16"/>
  <c r="E1278" i="16"/>
  <c r="D1278" i="16"/>
  <c r="E1277" i="16"/>
  <c r="D1277" i="16"/>
  <c r="B1277" i="16" s="1"/>
  <c r="E1276" i="16"/>
  <c r="D1276" i="16"/>
  <c r="B1276" i="16" s="1"/>
  <c r="E1275" i="16"/>
  <c r="D1275" i="16"/>
  <c r="B1275" i="16" s="1"/>
  <c r="E1274" i="16"/>
  <c r="D1274" i="16"/>
  <c r="C1274" i="16" s="1"/>
  <c r="E1273" i="16"/>
  <c r="D1273" i="16"/>
  <c r="E1272" i="16"/>
  <c r="D1272" i="16"/>
  <c r="C1272" i="16" s="1"/>
  <c r="E1271" i="16"/>
  <c r="D1271" i="16"/>
  <c r="E1270" i="16"/>
  <c r="D1270" i="16"/>
  <c r="C1270" i="16" s="1"/>
  <c r="E1269" i="16"/>
  <c r="D1269" i="16"/>
  <c r="C1269" i="16" s="1"/>
  <c r="E1268" i="16"/>
  <c r="D1268" i="16"/>
  <c r="B1268" i="16" s="1"/>
  <c r="E1267" i="16"/>
  <c r="D1267" i="16"/>
  <c r="B1267" i="16" s="1"/>
  <c r="E1266" i="16"/>
  <c r="D1266" i="16"/>
  <c r="B1266" i="16" s="1"/>
  <c r="E1265" i="16"/>
  <c r="D1265" i="16"/>
  <c r="E1264" i="16"/>
  <c r="D1264" i="16"/>
  <c r="C1264" i="16" s="1"/>
  <c r="E1263" i="16"/>
  <c r="D1263" i="16"/>
  <c r="B1263" i="16" s="1"/>
  <c r="E1262" i="16"/>
  <c r="D1262" i="16"/>
  <c r="C1262" i="16" s="1"/>
  <c r="E1261" i="16"/>
  <c r="D1261" i="16"/>
  <c r="B1261" i="16" s="1"/>
  <c r="E1260" i="16"/>
  <c r="D1260" i="16"/>
  <c r="C1260" i="16" s="1"/>
  <c r="B1260" i="16"/>
  <c r="E1259" i="16"/>
  <c r="D1259" i="16"/>
  <c r="B1259" i="16" s="1"/>
  <c r="E1258" i="16"/>
  <c r="D1258" i="16"/>
  <c r="C1258" i="16" s="1"/>
  <c r="E1257" i="16"/>
  <c r="D1257" i="16"/>
  <c r="E1256" i="16"/>
  <c r="D1256" i="16"/>
  <c r="C1256" i="16" s="1"/>
  <c r="E1255" i="16"/>
  <c r="D1255" i="16"/>
  <c r="B1255" i="16" s="1"/>
  <c r="E1254" i="16"/>
  <c r="D1254" i="16"/>
  <c r="E1253" i="16"/>
  <c r="D1253" i="16"/>
  <c r="C1253" i="16" s="1"/>
  <c r="E1252" i="16"/>
  <c r="D1252" i="16"/>
  <c r="C1252" i="16" s="1"/>
  <c r="E1251" i="16"/>
  <c r="D1251" i="16"/>
  <c r="B1251" i="16" s="1"/>
  <c r="E1250" i="16"/>
  <c r="D1250" i="16"/>
  <c r="B1250" i="16" s="1"/>
  <c r="E1249" i="16"/>
  <c r="D1249" i="16"/>
  <c r="C1249" i="16" s="1"/>
  <c r="E1248" i="16"/>
  <c r="D1248" i="16"/>
  <c r="C1248" i="16" s="1"/>
  <c r="E1247" i="16"/>
  <c r="D1247" i="16"/>
  <c r="B1247" i="16" s="1"/>
  <c r="E1246" i="16"/>
  <c r="D1246" i="16"/>
  <c r="E1245" i="16"/>
  <c r="D1245" i="16"/>
  <c r="E1244" i="16"/>
  <c r="D1244" i="16"/>
  <c r="C1244" i="16" s="1"/>
  <c r="E1243" i="16"/>
  <c r="D1243" i="16"/>
  <c r="B1243" i="16" s="1"/>
  <c r="E1242" i="16"/>
  <c r="D1242" i="16"/>
  <c r="C1242" i="16" s="1"/>
  <c r="E1241" i="16"/>
  <c r="D1241" i="16"/>
  <c r="C1241" i="16" s="1"/>
  <c r="E1240" i="16"/>
  <c r="D1240" i="16"/>
  <c r="E1239" i="16"/>
  <c r="D1239" i="16"/>
  <c r="B1239" i="16" s="1"/>
  <c r="E1238" i="16"/>
  <c r="D1238" i="16"/>
  <c r="C1238" i="16" s="1"/>
  <c r="E1237" i="16"/>
  <c r="D1237" i="16"/>
  <c r="C1237" i="16" s="1"/>
  <c r="E1236" i="16"/>
  <c r="D1236" i="16"/>
  <c r="B1236" i="16" s="1"/>
  <c r="E1235" i="16"/>
  <c r="D1235" i="16"/>
  <c r="B1235" i="16" s="1"/>
  <c r="E1234" i="16"/>
  <c r="D1234" i="16"/>
  <c r="B1234" i="16" s="1"/>
  <c r="E1233" i="16"/>
  <c r="D1233" i="16"/>
  <c r="C1233" i="16" s="1"/>
  <c r="E1232" i="16"/>
  <c r="D1232" i="16"/>
  <c r="C1232" i="16" s="1"/>
  <c r="E1231" i="16"/>
  <c r="D1231" i="16"/>
  <c r="E1230" i="16"/>
  <c r="D1230" i="16"/>
  <c r="C1230" i="16" s="1"/>
  <c r="E1229" i="16"/>
  <c r="D1229" i="16"/>
  <c r="E1228" i="16"/>
  <c r="D1228" i="16"/>
  <c r="C1228" i="16" s="1"/>
  <c r="E1227" i="16"/>
  <c r="D1227" i="16"/>
  <c r="B1227" i="16" s="1"/>
  <c r="E1226" i="16"/>
  <c r="D1226" i="16"/>
  <c r="B1226" i="16" s="1"/>
  <c r="E1225" i="16"/>
  <c r="D1225" i="16"/>
  <c r="E1224" i="16"/>
  <c r="D1224" i="16"/>
  <c r="E1223" i="16"/>
  <c r="D1223" i="16"/>
  <c r="B1223" i="16" s="1"/>
  <c r="E1222" i="16"/>
  <c r="D1222" i="16"/>
  <c r="C1222" i="16" s="1"/>
  <c r="E1221" i="16"/>
  <c r="D1221" i="16"/>
  <c r="E1220" i="16"/>
  <c r="D1220" i="16"/>
  <c r="B1220" i="16" s="1"/>
  <c r="E1219" i="16"/>
  <c r="D1219" i="16"/>
  <c r="B1219" i="16" s="1"/>
  <c r="E1218" i="16"/>
  <c r="D1218" i="16"/>
  <c r="E1217" i="16"/>
  <c r="D1217" i="16"/>
  <c r="E1216" i="16"/>
  <c r="D1216" i="16"/>
  <c r="C1216" i="16" s="1"/>
  <c r="E1215" i="16"/>
  <c r="D1215" i="16"/>
  <c r="B1215" i="16" s="1"/>
  <c r="E1214" i="16"/>
  <c r="D1214" i="16"/>
  <c r="C1214" i="16" s="1"/>
  <c r="E1213" i="16"/>
  <c r="D1213" i="16"/>
  <c r="B1213" i="16" s="1"/>
  <c r="E1212" i="16"/>
  <c r="B1212" i="16" s="1"/>
  <c r="D1212" i="16"/>
  <c r="C1212" i="16"/>
  <c r="E1211" i="16"/>
  <c r="D1211" i="16"/>
  <c r="B1211" i="16" s="1"/>
  <c r="E1210" i="16"/>
  <c r="D1210" i="16"/>
  <c r="C1210" i="16" s="1"/>
  <c r="E1209" i="16"/>
  <c r="D1209" i="16"/>
  <c r="E1208" i="16"/>
  <c r="D1208" i="16"/>
  <c r="C1208" i="16" s="1"/>
  <c r="E1207" i="16"/>
  <c r="D1207" i="16"/>
  <c r="B1207" i="16" s="1"/>
  <c r="E1206" i="16"/>
  <c r="D1206" i="16"/>
  <c r="B1206" i="16" s="1"/>
  <c r="E1205" i="16"/>
  <c r="D1205" i="16"/>
  <c r="C1205" i="16" s="1"/>
  <c r="E1204" i="16"/>
  <c r="D1204" i="16"/>
  <c r="C1204" i="16" s="1"/>
  <c r="E1203" i="16"/>
  <c r="D1203" i="16"/>
  <c r="B1203" i="16" s="1"/>
  <c r="E1202" i="16"/>
  <c r="D1202" i="16"/>
  <c r="C1202" i="16" s="1"/>
  <c r="E1201" i="16"/>
  <c r="D1201" i="16"/>
  <c r="C1201" i="16" s="1"/>
  <c r="E1200" i="16"/>
  <c r="D1200" i="16"/>
  <c r="E1199" i="16"/>
  <c r="D1199" i="16"/>
  <c r="B1199" i="16" s="1"/>
  <c r="E1198" i="16"/>
  <c r="D1198" i="16"/>
  <c r="C1198" i="16" s="1"/>
  <c r="E1197" i="16"/>
  <c r="D1197" i="16"/>
  <c r="C1197" i="16" s="1"/>
  <c r="E1196" i="16"/>
  <c r="D1196" i="16"/>
  <c r="C1196" i="16" s="1"/>
  <c r="E1195" i="16"/>
  <c r="D1195" i="16"/>
  <c r="B1195" i="16" s="1"/>
  <c r="E1194" i="16"/>
  <c r="D1194" i="16"/>
  <c r="E1193" i="16"/>
  <c r="D1193" i="16"/>
  <c r="C1193" i="16" s="1"/>
  <c r="E1192" i="16"/>
  <c r="D1192" i="16"/>
  <c r="C1192" i="16" s="1"/>
  <c r="E1191" i="16"/>
  <c r="D1191" i="16"/>
  <c r="B1191" i="16" s="1"/>
  <c r="E1190" i="16"/>
  <c r="D1190" i="16"/>
  <c r="E1189" i="16"/>
  <c r="D1189" i="16"/>
  <c r="E1188" i="16"/>
  <c r="D1188" i="16"/>
  <c r="C1188" i="16" s="1"/>
  <c r="E1187" i="16"/>
  <c r="D1187" i="16"/>
  <c r="B1187" i="16" s="1"/>
  <c r="E1186" i="16"/>
  <c r="D1186" i="16"/>
  <c r="C1186" i="16" s="1"/>
  <c r="E1185" i="16"/>
  <c r="D1185" i="16"/>
  <c r="E1184" i="16"/>
  <c r="D1184" i="16"/>
  <c r="C1184" i="16" s="1"/>
  <c r="E1183" i="16"/>
  <c r="D1183" i="16"/>
  <c r="E1182" i="16"/>
  <c r="D1182" i="16"/>
  <c r="C1182" i="16" s="1"/>
  <c r="B1182" i="16"/>
  <c r="E1181" i="16"/>
  <c r="D1181" i="16"/>
  <c r="E1180" i="16"/>
  <c r="D1180" i="16"/>
  <c r="E1179" i="16"/>
  <c r="D1179" i="16"/>
  <c r="B1179" i="16" s="1"/>
  <c r="E1178" i="16"/>
  <c r="D1178" i="16"/>
  <c r="C1178" i="16" s="1"/>
  <c r="E1177" i="16"/>
  <c r="D1177" i="16"/>
  <c r="E1176" i="16"/>
  <c r="D1176" i="16"/>
  <c r="C1176" i="16" s="1"/>
  <c r="E1175" i="16"/>
  <c r="D1175" i="16"/>
  <c r="B1175" i="16" s="1"/>
  <c r="E1174" i="16"/>
  <c r="D1174" i="16"/>
  <c r="C1174" i="16" s="1"/>
  <c r="E1173" i="16"/>
  <c r="D1173" i="16"/>
  <c r="E1172" i="16"/>
  <c r="D1172" i="16"/>
  <c r="C1172" i="16" s="1"/>
  <c r="E1171" i="16"/>
  <c r="D1171" i="16"/>
  <c r="B1171" i="16" s="1"/>
  <c r="E1170" i="16"/>
  <c r="D1170" i="16"/>
  <c r="E1169" i="16"/>
  <c r="D1169" i="16"/>
  <c r="E1168" i="16"/>
  <c r="D1168" i="16"/>
  <c r="C1168" i="16" s="1"/>
  <c r="E1167" i="16"/>
  <c r="D1167" i="16"/>
  <c r="B1167" i="16" s="1"/>
  <c r="E1166" i="16"/>
  <c r="D1166" i="16"/>
  <c r="B1166" i="16" s="1"/>
  <c r="E1165" i="16"/>
  <c r="D1165" i="16"/>
  <c r="C1165" i="16" s="1"/>
  <c r="E1164" i="16"/>
  <c r="D1164" i="16"/>
  <c r="C1164" i="16" s="1"/>
  <c r="E1163" i="16"/>
  <c r="D1163" i="16"/>
  <c r="B1163" i="16" s="1"/>
  <c r="E1162" i="16"/>
  <c r="D1162" i="16"/>
  <c r="B1162" i="16" s="1"/>
  <c r="E1161" i="16"/>
  <c r="D1161" i="16"/>
  <c r="C1161" i="16" s="1"/>
  <c r="E1160" i="16"/>
  <c r="D1160" i="16"/>
  <c r="C1160" i="16" s="1"/>
  <c r="E1159" i="16"/>
  <c r="D1159" i="16"/>
  <c r="E1158" i="16"/>
  <c r="D1158" i="16"/>
  <c r="C1158" i="16" s="1"/>
  <c r="E1157" i="16"/>
  <c r="D1157" i="16"/>
  <c r="C1157" i="16" s="1"/>
  <c r="E1156" i="16"/>
  <c r="D1156" i="16"/>
  <c r="C1156" i="16" s="1"/>
  <c r="E1155" i="16"/>
  <c r="D1155" i="16"/>
  <c r="B1155" i="16" s="1"/>
  <c r="E1154" i="16"/>
  <c r="D1154" i="16"/>
  <c r="C1154" i="16" s="1"/>
  <c r="E1153" i="16"/>
  <c r="D1153" i="16"/>
  <c r="C1153" i="16" s="1"/>
  <c r="E1152" i="16"/>
  <c r="D1152" i="16"/>
  <c r="E1151" i="16"/>
  <c r="D1151" i="16"/>
  <c r="B1151" i="16" s="1"/>
  <c r="E1150" i="16"/>
  <c r="D1150" i="16"/>
  <c r="B1150" i="16" s="1"/>
  <c r="E1149" i="16"/>
  <c r="D1149" i="16"/>
  <c r="E1148" i="16"/>
  <c r="D1148" i="16"/>
  <c r="C1148" i="16" s="1"/>
  <c r="E1147" i="16"/>
  <c r="D1147" i="16"/>
  <c r="B1147" i="16" s="1"/>
  <c r="E1146" i="16"/>
  <c r="D1146" i="16"/>
  <c r="C1146" i="16" s="1"/>
  <c r="E1145" i="16"/>
  <c r="D1145" i="16"/>
  <c r="E1144" i="16"/>
  <c r="D1144" i="16"/>
  <c r="C1144" i="16" s="1"/>
  <c r="E1143" i="16"/>
  <c r="D1143" i="16"/>
  <c r="B1143" i="16" s="1"/>
  <c r="C1143" i="16"/>
  <c r="E1142" i="16"/>
  <c r="D1142" i="16"/>
  <c r="E1141" i="16"/>
  <c r="D1141" i="16"/>
  <c r="E1140" i="16"/>
  <c r="D1140" i="16"/>
  <c r="E1139" i="16"/>
  <c r="D1139" i="16"/>
  <c r="B1139" i="16" s="1"/>
  <c r="E1138" i="16"/>
  <c r="D1138" i="16"/>
  <c r="C1138" i="16" s="1"/>
  <c r="E1137" i="16"/>
  <c r="D1137" i="16"/>
  <c r="C1137" i="16" s="1"/>
  <c r="E1136" i="16"/>
  <c r="D1136" i="16"/>
  <c r="C1136" i="16" s="1"/>
  <c r="E1135" i="16"/>
  <c r="D1135" i="16"/>
  <c r="B1135" i="16" s="1"/>
  <c r="E1134" i="16"/>
  <c r="D1134" i="16"/>
  <c r="C1134" i="16" s="1"/>
  <c r="E1133" i="16"/>
  <c r="D1133" i="16"/>
  <c r="E1132" i="16"/>
  <c r="D1132" i="16"/>
  <c r="C1132" i="16" s="1"/>
  <c r="E1131" i="16"/>
  <c r="D1131" i="16"/>
  <c r="B1131" i="16" s="1"/>
  <c r="E1130" i="16"/>
  <c r="D1130" i="16"/>
  <c r="E1129" i="16"/>
  <c r="D1129" i="16"/>
  <c r="E1128" i="16"/>
  <c r="D1128" i="16"/>
  <c r="C1128" i="16" s="1"/>
  <c r="E1127" i="16"/>
  <c r="D1127" i="16"/>
  <c r="B1127" i="16" s="1"/>
  <c r="E1126" i="16"/>
  <c r="D1126" i="16"/>
  <c r="B1126" i="16" s="1"/>
  <c r="E1125" i="16"/>
  <c r="D1125" i="16"/>
  <c r="E1124" i="16"/>
  <c r="D1124" i="16"/>
  <c r="C1124" i="16" s="1"/>
  <c r="E1123" i="16"/>
  <c r="D1123" i="16"/>
  <c r="B1123" i="16" s="1"/>
  <c r="E1122" i="16"/>
  <c r="D1122" i="16"/>
  <c r="B1122" i="16" s="1"/>
  <c r="E1121" i="16"/>
  <c r="D1121" i="16"/>
  <c r="C1121" i="16" s="1"/>
  <c r="E1120" i="16"/>
  <c r="D1120" i="16"/>
  <c r="C1120" i="16" s="1"/>
  <c r="E1119" i="16"/>
  <c r="D1119" i="16"/>
  <c r="B1119" i="16" s="1"/>
  <c r="E1118" i="16"/>
  <c r="D1118" i="16"/>
  <c r="C1118" i="16" s="1"/>
  <c r="E1117" i="16"/>
  <c r="D1117" i="16"/>
  <c r="C1117" i="16" s="1"/>
  <c r="E1116" i="16"/>
  <c r="D1116" i="16"/>
  <c r="E1115" i="16"/>
  <c r="D1115" i="16"/>
  <c r="B1115" i="16" s="1"/>
  <c r="E1114" i="16"/>
  <c r="D1114" i="16"/>
  <c r="B1114" i="16" s="1"/>
  <c r="E1113" i="16"/>
  <c r="D1113" i="16"/>
  <c r="C1113" i="16" s="1"/>
  <c r="E1112" i="16"/>
  <c r="D1112" i="16"/>
  <c r="C1112" i="16" s="1"/>
  <c r="E1111" i="16"/>
  <c r="D1111" i="16"/>
  <c r="B1111" i="16" s="1"/>
  <c r="E1110" i="16"/>
  <c r="D1110" i="16"/>
  <c r="B1110" i="16" s="1"/>
  <c r="C1110" i="16"/>
  <c r="E1109" i="16"/>
  <c r="D1109" i="16"/>
  <c r="E1108" i="16"/>
  <c r="D1108" i="16"/>
  <c r="C1108" i="16" s="1"/>
  <c r="E1107" i="16"/>
  <c r="D1107" i="16"/>
  <c r="B1107" i="16" s="1"/>
  <c r="E1106" i="16"/>
  <c r="D1106" i="16"/>
  <c r="C1106" i="16" s="1"/>
  <c r="E1105" i="16"/>
  <c r="D1105" i="16"/>
  <c r="E1104" i="16"/>
  <c r="D1104" i="16"/>
  <c r="C1104" i="16" s="1"/>
  <c r="B1104" i="16"/>
  <c r="E1103" i="16"/>
  <c r="D1103" i="16"/>
  <c r="B1103" i="16" s="1"/>
  <c r="E1102" i="16"/>
  <c r="D1102" i="16"/>
  <c r="C1102" i="16" s="1"/>
  <c r="B1102" i="16"/>
  <c r="E1101" i="16"/>
  <c r="D1101" i="16"/>
  <c r="E1100" i="16"/>
  <c r="D1100" i="16"/>
  <c r="E1099" i="16"/>
  <c r="D1099" i="16"/>
  <c r="B1099" i="16" s="1"/>
  <c r="E1098" i="16"/>
  <c r="D1098" i="16"/>
  <c r="C1098" i="16" s="1"/>
  <c r="E1097" i="16"/>
  <c r="D1097" i="16"/>
  <c r="C1097" i="16" s="1"/>
  <c r="E1096" i="16"/>
  <c r="D1096" i="16"/>
  <c r="C1096" i="16" s="1"/>
  <c r="E1095" i="16"/>
  <c r="D1095" i="16"/>
  <c r="E1094" i="16"/>
  <c r="D1094" i="16"/>
  <c r="E1093" i="16"/>
  <c r="D1093" i="16"/>
  <c r="B1093" i="16" s="1"/>
  <c r="E1092" i="16"/>
  <c r="D1092" i="16"/>
  <c r="E1091" i="16"/>
  <c r="D1091" i="16"/>
  <c r="C1091" i="16" s="1"/>
  <c r="E1090" i="16"/>
  <c r="D1090" i="16"/>
  <c r="B1090" i="16" s="1"/>
  <c r="E1089" i="16"/>
  <c r="D1089" i="16"/>
  <c r="E1088" i="16"/>
  <c r="D1088" i="16"/>
  <c r="E1087" i="16"/>
  <c r="D1087" i="16"/>
  <c r="B1087" i="16" s="1"/>
  <c r="E1086" i="16"/>
  <c r="D1086" i="16"/>
  <c r="C1086" i="16" s="1"/>
  <c r="E1085" i="16"/>
  <c r="D1085" i="16"/>
  <c r="C1085" i="16" s="1"/>
  <c r="E1084" i="16"/>
  <c r="D1084" i="16"/>
  <c r="C1084" i="16" s="1"/>
  <c r="E1083" i="16"/>
  <c r="D1083" i="16"/>
  <c r="E1082" i="16"/>
  <c r="D1082" i="16"/>
  <c r="B1082" i="16" s="1"/>
  <c r="E1081" i="16"/>
  <c r="D1081" i="16"/>
  <c r="E1080" i="16"/>
  <c r="D1080" i="16"/>
  <c r="C1080" i="16" s="1"/>
  <c r="E1079" i="16"/>
  <c r="D1079" i="16"/>
  <c r="C1079" i="16" s="1"/>
  <c r="E1078" i="16"/>
  <c r="D1078" i="16"/>
  <c r="E1077" i="16"/>
  <c r="D1077" i="16"/>
  <c r="B1077" i="16" s="1"/>
  <c r="E1076" i="16"/>
  <c r="D1076" i="16"/>
  <c r="E1075" i="16"/>
  <c r="D1075" i="16"/>
  <c r="C1075" i="16" s="1"/>
  <c r="E1074" i="16"/>
  <c r="D1074" i="16"/>
  <c r="B1074" i="16" s="1"/>
  <c r="C1074" i="16"/>
  <c r="E1073" i="16"/>
  <c r="D1073" i="16"/>
  <c r="E1072" i="16"/>
  <c r="D1072" i="16"/>
  <c r="C1072" i="16" s="1"/>
  <c r="E1071" i="16"/>
  <c r="D1071" i="16"/>
  <c r="E1070" i="16"/>
  <c r="D1070" i="16"/>
  <c r="C1070" i="16" s="1"/>
  <c r="E1069" i="16"/>
  <c r="D1069" i="16"/>
  <c r="B1069" i="16" s="1"/>
  <c r="E1068" i="16"/>
  <c r="D1068" i="16"/>
  <c r="B1068" i="16" s="1"/>
  <c r="E1067" i="16"/>
  <c r="D1067" i="16"/>
  <c r="C1067" i="16" s="1"/>
  <c r="E1066" i="16"/>
  <c r="D1066" i="16"/>
  <c r="E1065" i="16"/>
  <c r="D1065" i="16"/>
  <c r="C1065" i="16" s="1"/>
  <c r="E1064" i="16"/>
  <c r="D1064" i="16"/>
  <c r="B1064" i="16" s="1"/>
  <c r="E1063" i="16"/>
  <c r="D1063" i="16"/>
  <c r="B1063" i="16" s="1"/>
  <c r="C1063" i="16"/>
  <c r="E1062" i="16"/>
  <c r="D1062" i="16"/>
  <c r="E1061" i="16"/>
  <c r="D1061" i="16"/>
  <c r="E1060" i="16"/>
  <c r="D1060" i="16"/>
  <c r="E1059" i="16"/>
  <c r="D1059" i="16"/>
  <c r="C1059" i="16" s="1"/>
  <c r="E1058" i="16"/>
  <c r="D1058" i="16"/>
  <c r="B1058" i="16" s="1"/>
  <c r="E1057" i="16"/>
  <c r="D1057" i="16"/>
  <c r="E1056" i="16"/>
  <c r="D1056" i="16"/>
  <c r="E1055" i="16"/>
  <c r="D1055" i="16"/>
  <c r="C1055" i="16" s="1"/>
  <c r="E1054" i="16"/>
  <c r="D1054" i="16"/>
  <c r="C1054" i="16" s="1"/>
  <c r="E1053" i="16"/>
  <c r="D1053" i="16"/>
  <c r="B1053" i="16" s="1"/>
  <c r="E1052" i="16"/>
  <c r="D1052" i="16"/>
  <c r="C1052" i="16" s="1"/>
  <c r="B1052" i="16"/>
  <c r="E1051" i="16"/>
  <c r="D1051" i="16"/>
  <c r="C1051" i="16" s="1"/>
  <c r="E1050" i="16"/>
  <c r="D1050" i="16"/>
  <c r="E1049" i="16"/>
  <c r="D1049" i="16"/>
  <c r="C1049" i="16" s="1"/>
  <c r="E1048" i="16"/>
  <c r="D1048" i="16"/>
  <c r="C1048" i="16" s="1"/>
  <c r="E1047" i="16"/>
  <c r="D1047" i="16"/>
  <c r="C1047" i="16" s="1"/>
  <c r="E1046" i="16"/>
  <c r="D1046" i="16"/>
  <c r="C1046" i="16" s="1"/>
  <c r="E1045" i="16"/>
  <c r="D1045" i="16"/>
  <c r="E1044" i="16"/>
  <c r="D1044" i="16"/>
  <c r="E1043" i="16"/>
  <c r="D1043" i="16"/>
  <c r="B1043" i="16" s="1"/>
  <c r="E1042" i="16"/>
  <c r="D1042" i="16"/>
  <c r="B1042" i="16" s="1"/>
  <c r="E1041" i="16"/>
  <c r="D1041" i="16"/>
  <c r="E1040" i="16"/>
  <c r="D1040" i="16"/>
  <c r="E1039" i="16"/>
  <c r="D1039" i="16"/>
  <c r="C1039" i="16" s="1"/>
  <c r="E1038" i="16"/>
  <c r="D1038" i="16"/>
  <c r="C1038" i="16" s="1"/>
  <c r="E1037" i="16"/>
  <c r="D1037" i="16"/>
  <c r="B1037" i="16" s="1"/>
  <c r="E1036" i="16"/>
  <c r="D1036" i="16"/>
  <c r="C1036" i="16" s="1"/>
  <c r="E1035" i="16"/>
  <c r="D1035" i="16"/>
  <c r="E1034" i="16"/>
  <c r="D1034" i="16"/>
  <c r="C1034" i="16" s="1"/>
  <c r="E1033" i="16"/>
  <c r="D1033" i="16"/>
  <c r="E1032" i="16"/>
  <c r="D1032" i="16"/>
  <c r="C1032" i="16" s="1"/>
  <c r="E1031" i="16"/>
  <c r="D1031" i="16"/>
  <c r="B1031" i="16" s="1"/>
  <c r="C1031" i="16"/>
  <c r="E1030" i="16"/>
  <c r="D1030" i="16"/>
  <c r="C1030" i="16" s="1"/>
  <c r="E1029" i="16"/>
  <c r="D1029" i="16"/>
  <c r="E1028" i="16"/>
  <c r="D1028" i="16"/>
  <c r="E1027" i="16"/>
  <c r="D1027" i="16"/>
  <c r="C1027" i="16" s="1"/>
  <c r="E1026" i="16"/>
  <c r="D1026" i="16"/>
  <c r="B1026" i="16" s="1"/>
  <c r="E1025" i="16"/>
  <c r="D1025" i="16"/>
  <c r="E1024" i="16"/>
  <c r="D1024" i="16"/>
  <c r="C1024" i="16" s="1"/>
  <c r="E1023" i="16"/>
  <c r="D1023" i="16"/>
  <c r="B1023" i="16" s="1"/>
  <c r="E1022" i="16"/>
  <c r="D1022" i="16"/>
  <c r="B1022" i="16" s="1"/>
  <c r="E1021" i="16"/>
  <c r="D1021" i="16"/>
  <c r="E1020" i="16"/>
  <c r="D1020" i="16"/>
  <c r="C1020" i="16" s="1"/>
  <c r="E1019" i="16"/>
  <c r="D1019" i="16"/>
  <c r="E1018" i="16"/>
  <c r="D1018" i="16"/>
  <c r="C1018" i="16" s="1"/>
  <c r="E1017" i="16"/>
  <c r="D1017" i="16"/>
  <c r="E1016" i="16"/>
  <c r="D1016" i="16"/>
  <c r="C1016" i="16" s="1"/>
  <c r="B1016" i="16"/>
  <c r="E1015" i="16"/>
  <c r="D1015" i="16"/>
  <c r="B1015" i="16" s="1"/>
  <c r="E1014" i="16"/>
  <c r="D1014" i="16"/>
  <c r="E1013" i="16"/>
  <c r="D1013" i="16"/>
  <c r="B1013" i="16" s="1"/>
  <c r="E1012" i="16"/>
  <c r="D1012" i="16"/>
  <c r="B1012" i="16" s="1"/>
  <c r="E1011" i="16"/>
  <c r="D1011" i="16"/>
  <c r="C1011" i="16" s="1"/>
  <c r="E1010" i="16"/>
  <c r="D1010" i="16"/>
  <c r="C1010" i="16" s="1"/>
  <c r="E1009" i="16"/>
  <c r="D1009" i="16"/>
  <c r="E1008" i="16"/>
  <c r="D1008" i="16"/>
  <c r="C1008" i="16" s="1"/>
  <c r="E1007" i="16"/>
  <c r="D1007" i="16"/>
  <c r="B1007" i="16" s="1"/>
  <c r="E1006" i="16"/>
  <c r="D1006" i="16"/>
  <c r="C1006" i="16" s="1"/>
  <c r="E1005" i="16"/>
  <c r="D1005" i="16"/>
  <c r="C1005" i="16" s="1"/>
  <c r="E1004" i="16"/>
  <c r="D1004" i="16"/>
  <c r="B1004" i="16" s="1"/>
  <c r="E1003" i="16"/>
  <c r="D1003" i="16"/>
  <c r="C1003" i="16" s="1"/>
  <c r="E1002" i="16"/>
  <c r="D1002" i="16"/>
  <c r="E1001" i="16"/>
  <c r="D1001" i="16"/>
  <c r="E1000" i="16"/>
  <c r="D1000" i="16"/>
  <c r="C1000" i="16" s="1"/>
  <c r="E999" i="16"/>
  <c r="D999" i="16"/>
  <c r="B999" i="16" s="1"/>
  <c r="E998" i="16"/>
  <c r="D998" i="16"/>
  <c r="E997" i="16"/>
  <c r="D997" i="16"/>
  <c r="C997" i="16" s="1"/>
  <c r="E996" i="16"/>
  <c r="D996" i="16"/>
  <c r="C996" i="16" s="1"/>
  <c r="E995" i="16"/>
  <c r="D995" i="16"/>
  <c r="C995" i="16" s="1"/>
  <c r="E994" i="16"/>
  <c r="D994" i="16"/>
  <c r="B994" i="16" s="1"/>
  <c r="E993" i="16"/>
  <c r="D993" i="16"/>
  <c r="C993" i="16" s="1"/>
  <c r="E992" i="16"/>
  <c r="D992" i="16"/>
  <c r="C992" i="16" s="1"/>
  <c r="E991" i="16"/>
  <c r="D991" i="16"/>
  <c r="B991" i="16" s="1"/>
  <c r="E990" i="16"/>
  <c r="D990" i="16"/>
  <c r="C990" i="16" s="1"/>
  <c r="E989" i="16"/>
  <c r="D989" i="16"/>
  <c r="B989" i="16" s="1"/>
  <c r="E988" i="16"/>
  <c r="D988" i="16"/>
  <c r="C988" i="16" s="1"/>
  <c r="E987" i="16"/>
  <c r="D987" i="16"/>
  <c r="C987" i="16" s="1"/>
  <c r="E986" i="16"/>
  <c r="D986" i="16"/>
  <c r="E985" i="16"/>
  <c r="D985" i="16"/>
  <c r="C985" i="16" s="1"/>
  <c r="E984" i="16"/>
  <c r="D984" i="16"/>
  <c r="B984" i="16" s="1"/>
  <c r="E983" i="16"/>
  <c r="D983" i="16"/>
  <c r="B983" i="16" s="1"/>
  <c r="E982" i="16"/>
  <c r="D982" i="16"/>
  <c r="C982" i="16" s="1"/>
  <c r="E981" i="16"/>
  <c r="D981" i="16"/>
  <c r="E980" i="16"/>
  <c r="D980" i="16"/>
  <c r="E979" i="16"/>
  <c r="D979" i="16"/>
  <c r="C979" i="16" s="1"/>
  <c r="E978" i="16"/>
  <c r="D978" i="16"/>
  <c r="C978" i="16" s="1"/>
  <c r="E977" i="16"/>
  <c r="D977" i="16"/>
  <c r="E976" i="16"/>
  <c r="D976" i="16"/>
  <c r="B976" i="16" s="1"/>
  <c r="E975" i="16"/>
  <c r="D975" i="16"/>
  <c r="C975" i="16" s="1"/>
  <c r="E974" i="16"/>
  <c r="D974" i="16"/>
  <c r="C974" i="16" s="1"/>
  <c r="E973" i="16"/>
  <c r="D973" i="16"/>
  <c r="E972" i="16"/>
  <c r="D972" i="16"/>
  <c r="B972" i="16" s="1"/>
  <c r="E971" i="16"/>
  <c r="D971" i="16"/>
  <c r="C971" i="16" s="1"/>
  <c r="E970" i="16"/>
  <c r="D970" i="16"/>
  <c r="E969" i="16"/>
  <c r="D969" i="16"/>
  <c r="E968" i="16"/>
  <c r="D968" i="16"/>
  <c r="C968" i="16" s="1"/>
  <c r="E967" i="16"/>
  <c r="D967" i="16"/>
  <c r="C967" i="16" s="1"/>
  <c r="E966" i="16"/>
  <c r="D966" i="16"/>
  <c r="B966" i="16" s="1"/>
  <c r="E965" i="16"/>
  <c r="D965" i="16"/>
  <c r="B965" i="16" s="1"/>
  <c r="E964" i="16"/>
  <c r="D964" i="16"/>
  <c r="E963" i="16"/>
  <c r="D963" i="16"/>
  <c r="C963" i="16" s="1"/>
  <c r="E962" i="16"/>
  <c r="D962" i="16"/>
  <c r="E961" i="16"/>
  <c r="D961" i="16"/>
  <c r="C961" i="16" s="1"/>
  <c r="E960" i="16"/>
  <c r="D960" i="16"/>
  <c r="E959" i="16"/>
  <c r="D959" i="16"/>
  <c r="E958" i="16"/>
  <c r="D958" i="16"/>
  <c r="C958" i="16" s="1"/>
  <c r="E957" i="16"/>
  <c r="D957" i="16"/>
  <c r="E956" i="16"/>
  <c r="D956" i="16"/>
  <c r="B956" i="16" s="1"/>
  <c r="E955" i="16"/>
  <c r="D955" i="16"/>
  <c r="B955" i="16" s="1"/>
  <c r="E954" i="16"/>
  <c r="D954" i="16"/>
  <c r="E953" i="16"/>
  <c r="D953" i="16"/>
  <c r="E952" i="16"/>
  <c r="B952" i="16" s="1"/>
  <c r="D952" i="16"/>
  <c r="E951" i="16"/>
  <c r="D951" i="16"/>
  <c r="B951" i="16" s="1"/>
  <c r="E950" i="16"/>
  <c r="D950" i="16"/>
  <c r="C950" i="16" s="1"/>
  <c r="E949" i="16"/>
  <c r="D949" i="16"/>
  <c r="B949" i="16" s="1"/>
  <c r="E948" i="16"/>
  <c r="D948" i="16"/>
  <c r="E947" i="16"/>
  <c r="D947" i="16"/>
  <c r="C947" i="16" s="1"/>
  <c r="E946" i="16"/>
  <c r="D946" i="16"/>
  <c r="C946" i="16" s="1"/>
  <c r="E945" i="16"/>
  <c r="D945" i="16"/>
  <c r="E944" i="16"/>
  <c r="D944" i="16"/>
  <c r="B944" i="16" s="1"/>
  <c r="E943" i="16"/>
  <c r="D943" i="16"/>
  <c r="B943" i="16" s="1"/>
  <c r="E942" i="16"/>
  <c r="D942" i="16"/>
  <c r="E941" i="16"/>
  <c r="D941" i="16"/>
  <c r="C941" i="16" s="1"/>
  <c r="E940" i="16"/>
  <c r="D940" i="16"/>
  <c r="C940" i="16" s="1"/>
  <c r="E939" i="16"/>
  <c r="D939" i="16"/>
  <c r="E938" i="16"/>
  <c r="D938" i="16"/>
  <c r="E937" i="16"/>
  <c r="D937" i="16"/>
  <c r="C937" i="16" s="1"/>
  <c r="E936" i="16"/>
  <c r="D936" i="16"/>
  <c r="C936" i="16" s="1"/>
  <c r="E935" i="16"/>
  <c r="D935" i="16"/>
  <c r="B935" i="16" s="1"/>
  <c r="E934" i="16"/>
  <c r="D934" i="16"/>
  <c r="B934" i="16" s="1"/>
  <c r="E933" i="16"/>
  <c r="D933" i="16"/>
  <c r="C933" i="16" s="1"/>
  <c r="E932" i="16"/>
  <c r="D932" i="16"/>
  <c r="E931" i="16"/>
  <c r="D931" i="16"/>
  <c r="C931" i="16" s="1"/>
  <c r="E930" i="16"/>
  <c r="D930" i="16"/>
  <c r="C930" i="16" s="1"/>
  <c r="B930" i="16"/>
  <c r="E929" i="16"/>
  <c r="D929" i="16"/>
  <c r="C929" i="16" s="1"/>
  <c r="E928" i="16"/>
  <c r="D928" i="16"/>
  <c r="C928" i="16" s="1"/>
  <c r="B928" i="16"/>
  <c r="E927" i="16"/>
  <c r="D927" i="16"/>
  <c r="E926" i="16"/>
  <c r="D926" i="16"/>
  <c r="E925" i="16"/>
  <c r="D925" i="16"/>
  <c r="E924" i="16"/>
  <c r="D924" i="16"/>
  <c r="C924" i="16" s="1"/>
  <c r="B924" i="16"/>
  <c r="E923" i="16"/>
  <c r="D923" i="16"/>
  <c r="C923" i="16" s="1"/>
  <c r="E922" i="16"/>
  <c r="D922" i="16"/>
  <c r="E921" i="16"/>
  <c r="D921" i="16"/>
  <c r="E920" i="16"/>
  <c r="D920" i="16"/>
  <c r="C920" i="16" s="1"/>
  <c r="E919" i="16"/>
  <c r="D919" i="16"/>
  <c r="C919" i="16" s="1"/>
  <c r="E918" i="16"/>
  <c r="D918" i="16"/>
  <c r="E917" i="16"/>
  <c r="D917" i="16"/>
  <c r="E916" i="16"/>
  <c r="D916" i="16"/>
  <c r="E915" i="16"/>
  <c r="D915" i="16"/>
  <c r="C915" i="16" s="1"/>
  <c r="E914" i="16"/>
  <c r="D914" i="16"/>
  <c r="B914" i="16" s="1"/>
  <c r="E913" i="16"/>
  <c r="D913" i="16"/>
  <c r="C913" i="16" s="1"/>
  <c r="E912" i="16"/>
  <c r="D912" i="16"/>
  <c r="C912" i="16" s="1"/>
  <c r="E911" i="16"/>
  <c r="D911" i="16"/>
  <c r="E910" i="16"/>
  <c r="D910" i="16"/>
  <c r="C910" i="16" s="1"/>
  <c r="E909" i="16"/>
  <c r="D909" i="16"/>
  <c r="B909" i="16" s="1"/>
  <c r="E908" i="16"/>
  <c r="D908" i="16"/>
  <c r="B908" i="16" s="1"/>
  <c r="E907" i="16"/>
  <c r="D907" i="16"/>
  <c r="C907" i="16" s="1"/>
  <c r="E906" i="16"/>
  <c r="D906" i="16"/>
  <c r="E905" i="16"/>
  <c r="D905" i="16"/>
  <c r="C905" i="16" s="1"/>
  <c r="E904" i="16"/>
  <c r="D904" i="16"/>
  <c r="B904" i="16" s="1"/>
  <c r="E903" i="16"/>
  <c r="D903" i="16"/>
  <c r="B903" i="16" s="1"/>
  <c r="E902" i="16"/>
  <c r="D902" i="16"/>
  <c r="E901" i="16"/>
  <c r="D901" i="16"/>
  <c r="E900" i="16"/>
  <c r="D900" i="16"/>
  <c r="C900" i="16" s="1"/>
  <c r="E899" i="16"/>
  <c r="D899" i="16"/>
  <c r="C899" i="16" s="1"/>
  <c r="E898" i="16"/>
  <c r="D898" i="16"/>
  <c r="C898" i="16" s="1"/>
  <c r="E897" i="16"/>
  <c r="D897" i="16"/>
  <c r="E896" i="16"/>
  <c r="D896" i="16"/>
  <c r="B896" i="16" s="1"/>
  <c r="E895" i="16"/>
  <c r="D895" i="16"/>
  <c r="C895" i="16" s="1"/>
  <c r="E894" i="16"/>
  <c r="D894" i="16"/>
  <c r="C894" i="16" s="1"/>
  <c r="E893" i="16"/>
  <c r="D893" i="16"/>
  <c r="B893" i="16" s="1"/>
  <c r="E892" i="16"/>
  <c r="D892" i="16"/>
  <c r="B892" i="16" s="1"/>
  <c r="E891" i="16"/>
  <c r="D891" i="16"/>
  <c r="C891" i="16" s="1"/>
  <c r="E890" i="16"/>
  <c r="D890" i="16"/>
  <c r="B890" i="16" s="1"/>
  <c r="E889" i="16"/>
  <c r="D889" i="16"/>
  <c r="B889" i="16" s="1"/>
  <c r="E888" i="16"/>
  <c r="D888" i="16"/>
  <c r="B888" i="16" s="1"/>
  <c r="E887" i="16"/>
  <c r="D887" i="16"/>
  <c r="E886" i="16"/>
  <c r="D886" i="16"/>
  <c r="E885" i="16"/>
  <c r="D885" i="16"/>
  <c r="E884" i="16"/>
  <c r="D884" i="16"/>
  <c r="B884" i="16" s="1"/>
  <c r="E883" i="16"/>
  <c r="D883" i="16"/>
  <c r="E882" i="16"/>
  <c r="D882" i="16"/>
  <c r="C882" i="16" s="1"/>
  <c r="E881" i="16"/>
  <c r="D881" i="16"/>
  <c r="C881" i="16" s="1"/>
  <c r="E880" i="16"/>
  <c r="D880" i="16"/>
  <c r="B880" i="16" s="1"/>
  <c r="C880" i="16"/>
  <c r="E879" i="16"/>
  <c r="D879" i="16"/>
  <c r="C879" i="16" s="1"/>
  <c r="B879" i="16"/>
  <c r="E878" i="16"/>
  <c r="D878" i="16"/>
  <c r="E877" i="16"/>
  <c r="D877" i="16"/>
  <c r="B877" i="16" s="1"/>
  <c r="E876" i="16"/>
  <c r="D876" i="16"/>
  <c r="B876" i="16" s="1"/>
  <c r="E875" i="16"/>
  <c r="D875" i="16"/>
  <c r="C875" i="16" s="1"/>
  <c r="E874" i="16"/>
  <c r="D874" i="16"/>
  <c r="B874" i="16" s="1"/>
  <c r="E873" i="16"/>
  <c r="D873" i="16"/>
  <c r="E872" i="16"/>
  <c r="D872" i="16"/>
  <c r="B872" i="16" s="1"/>
  <c r="E871" i="16"/>
  <c r="D871" i="16"/>
  <c r="B871" i="16" s="1"/>
  <c r="E870" i="16"/>
  <c r="D870" i="16"/>
  <c r="C870" i="16" s="1"/>
  <c r="E869" i="16"/>
  <c r="D869" i="16"/>
  <c r="B869" i="16" s="1"/>
  <c r="E868" i="16"/>
  <c r="D868" i="16"/>
  <c r="B868" i="16" s="1"/>
  <c r="C868" i="16"/>
  <c r="E867" i="16"/>
  <c r="D867" i="16"/>
  <c r="B867" i="16" s="1"/>
  <c r="E866" i="16"/>
  <c r="D866" i="16"/>
  <c r="C866" i="16" s="1"/>
  <c r="E865" i="16"/>
  <c r="D865" i="16"/>
  <c r="B865" i="16" s="1"/>
  <c r="E864" i="16"/>
  <c r="D864" i="16"/>
  <c r="B864" i="16" s="1"/>
  <c r="E863" i="16"/>
  <c r="D863" i="16"/>
  <c r="C863" i="16" s="1"/>
  <c r="E862" i="16"/>
  <c r="D862" i="16"/>
  <c r="C862" i="16" s="1"/>
  <c r="E861" i="16"/>
  <c r="D861" i="16"/>
  <c r="B861" i="16" s="1"/>
  <c r="E860" i="16"/>
  <c r="D860" i="16"/>
  <c r="B860" i="16" s="1"/>
  <c r="E859" i="16"/>
  <c r="D859" i="16"/>
  <c r="E858" i="16"/>
  <c r="D858" i="16"/>
  <c r="C858" i="16" s="1"/>
  <c r="E857" i="16"/>
  <c r="D857" i="16"/>
  <c r="B857" i="16" s="1"/>
  <c r="E856" i="16"/>
  <c r="D856" i="16"/>
  <c r="B856" i="16" s="1"/>
  <c r="E855" i="16"/>
  <c r="D855" i="16"/>
  <c r="C855" i="16" s="1"/>
  <c r="E854" i="16"/>
  <c r="D854" i="16"/>
  <c r="E853" i="16"/>
  <c r="D853" i="16"/>
  <c r="B853" i="16" s="1"/>
  <c r="E852" i="16"/>
  <c r="D852" i="16"/>
  <c r="B852" i="16" s="1"/>
  <c r="E851" i="16"/>
  <c r="D851" i="16"/>
  <c r="C851" i="16" s="1"/>
  <c r="E850" i="16"/>
  <c r="D850" i="16"/>
  <c r="E849" i="16"/>
  <c r="D849" i="16"/>
  <c r="C849" i="16" s="1"/>
  <c r="E848" i="16"/>
  <c r="D848" i="16"/>
  <c r="B848" i="16" s="1"/>
  <c r="E847" i="16"/>
  <c r="D847" i="16"/>
  <c r="C847" i="16" s="1"/>
  <c r="E846" i="16"/>
  <c r="D846" i="16"/>
  <c r="C846" i="16" s="1"/>
  <c r="B846" i="16"/>
  <c r="E845" i="16"/>
  <c r="D845" i="16"/>
  <c r="E844" i="16"/>
  <c r="D844" i="16"/>
  <c r="B844" i="16" s="1"/>
  <c r="E843" i="16"/>
  <c r="D843" i="16"/>
  <c r="C843" i="16" s="1"/>
  <c r="E842" i="16"/>
  <c r="D842" i="16"/>
  <c r="B842" i="16" s="1"/>
  <c r="E841" i="16"/>
  <c r="D841" i="16"/>
  <c r="E840" i="16"/>
  <c r="D840" i="16"/>
  <c r="E839" i="16"/>
  <c r="D839" i="16"/>
  <c r="C839" i="16" s="1"/>
  <c r="E838" i="16"/>
  <c r="D838" i="16"/>
  <c r="C838" i="16" s="1"/>
  <c r="E837" i="16"/>
  <c r="D837" i="16"/>
  <c r="C837" i="16"/>
  <c r="E836" i="16"/>
  <c r="D836" i="16"/>
  <c r="E835" i="16"/>
  <c r="D835" i="16"/>
  <c r="B835" i="16" s="1"/>
  <c r="E834" i="16"/>
  <c r="D834" i="16"/>
  <c r="C834" i="16" s="1"/>
  <c r="E833" i="16"/>
  <c r="D833" i="16"/>
  <c r="B833" i="16" s="1"/>
  <c r="E832" i="16"/>
  <c r="D832" i="16"/>
  <c r="B832" i="16" s="1"/>
  <c r="E831" i="16"/>
  <c r="D831" i="16"/>
  <c r="E830" i="16"/>
  <c r="D830" i="16"/>
  <c r="C830" i="16" s="1"/>
  <c r="E829" i="16"/>
  <c r="D829" i="16"/>
  <c r="C829" i="16" s="1"/>
  <c r="E828" i="16"/>
  <c r="D828" i="16"/>
  <c r="B828" i="16" s="1"/>
  <c r="E827" i="16"/>
  <c r="D827" i="16"/>
  <c r="B827" i="16" s="1"/>
  <c r="E826" i="16"/>
  <c r="D826" i="16"/>
  <c r="E825" i="16"/>
  <c r="D825" i="16"/>
  <c r="E824" i="16"/>
  <c r="D824" i="16"/>
  <c r="B824" i="16" s="1"/>
  <c r="E823" i="16"/>
  <c r="D823" i="16"/>
  <c r="C823" i="16" s="1"/>
  <c r="E822" i="16"/>
  <c r="D822" i="16"/>
  <c r="C822" i="16" s="1"/>
  <c r="E821" i="16"/>
  <c r="D821" i="16"/>
  <c r="B821" i="16" s="1"/>
  <c r="E820" i="16"/>
  <c r="D820" i="16"/>
  <c r="B820" i="16" s="1"/>
  <c r="E819" i="16"/>
  <c r="D819" i="16"/>
  <c r="C819" i="16" s="1"/>
  <c r="E818" i="16"/>
  <c r="D818" i="16"/>
  <c r="B818" i="16" s="1"/>
  <c r="E817" i="16"/>
  <c r="D817" i="16"/>
  <c r="E816" i="16"/>
  <c r="D816" i="16"/>
  <c r="B816" i="16" s="1"/>
  <c r="E815" i="16"/>
  <c r="D815" i="16"/>
  <c r="C815" i="16" s="1"/>
  <c r="E814" i="16"/>
  <c r="D814" i="16"/>
  <c r="C814" i="16" s="1"/>
  <c r="E813" i="16"/>
  <c r="D813" i="16"/>
  <c r="E812" i="16"/>
  <c r="D812" i="16"/>
  <c r="B812" i="16" s="1"/>
  <c r="E811" i="16"/>
  <c r="D811" i="16"/>
  <c r="C811" i="16" s="1"/>
  <c r="E810" i="16"/>
  <c r="D810" i="16"/>
  <c r="B810" i="16" s="1"/>
  <c r="E809" i="16"/>
  <c r="D809" i="16"/>
  <c r="C809" i="16" s="1"/>
  <c r="E808" i="16"/>
  <c r="D808" i="16"/>
  <c r="E807" i="16"/>
  <c r="D807" i="16"/>
  <c r="E806" i="16"/>
  <c r="D806" i="16"/>
  <c r="E805" i="16"/>
  <c r="D805" i="16"/>
  <c r="E804" i="16"/>
  <c r="D804" i="16"/>
  <c r="B804" i="16" s="1"/>
  <c r="E803" i="16"/>
  <c r="D803" i="16"/>
  <c r="B803" i="16" s="1"/>
  <c r="E802" i="16"/>
  <c r="D802" i="16"/>
  <c r="C802" i="16" s="1"/>
  <c r="E801" i="16"/>
  <c r="D801" i="16"/>
  <c r="C801" i="16" s="1"/>
  <c r="E800" i="16"/>
  <c r="D800" i="16"/>
  <c r="B800" i="16" s="1"/>
  <c r="E799" i="16"/>
  <c r="D799" i="16"/>
  <c r="C799" i="16" s="1"/>
  <c r="E798" i="16"/>
  <c r="D798" i="16"/>
  <c r="C798" i="16" s="1"/>
  <c r="E797" i="16"/>
  <c r="D797" i="16"/>
  <c r="B797" i="16" s="1"/>
  <c r="E796" i="16"/>
  <c r="D796" i="16"/>
  <c r="B796" i="16" s="1"/>
  <c r="E795" i="16"/>
  <c r="D795" i="16"/>
  <c r="B795" i="16" s="1"/>
  <c r="E794" i="16"/>
  <c r="D794" i="16"/>
  <c r="C794" i="16" s="1"/>
  <c r="E793" i="16"/>
  <c r="D793" i="16"/>
  <c r="E792" i="16"/>
  <c r="D792" i="16"/>
  <c r="B792" i="16" s="1"/>
  <c r="E791" i="16"/>
  <c r="D791" i="16"/>
  <c r="B791" i="16" s="1"/>
  <c r="E790" i="16"/>
  <c r="D790" i="16"/>
  <c r="E789" i="16"/>
  <c r="D789" i="16"/>
  <c r="C789" i="16" s="1"/>
  <c r="E788" i="16"/>
  <c r="D788" i="16"/>
  <c r="B788" i="16" s="1"/>
  <c r="E787" i="16"/>
  <c r="D787" i="16"/>
  <c r="C787" i="16" s="1"/>
  <c r="E786" i="16"/>
  <c r="D786" i="16"/>
  <c r="E785" i="16"/>
  <c r="D785" i="16"/>
  <c r="B785" i="16" s="1"/>
  <c r="E784" i="16"/>
  <c r="D784" i="16"/>
  <c r="E783" i="16"/>
  <c r="D783" i="16"/>
  <c r="C783" i="16" s="1"/>
  <c r="E782" i="16"/>
  <c r="D782" i="16"/>
  <c r="C782" i="16" s="1"/>
  <c r="E781" i="16"/>
  <c r="D781" i="16"/>
  <c r="B781" i="16" s="1"/>
  <c r="E780" i="16"/>
  <c r="D780" i="16"/>
  <c r="B780" i="16" s="1"/>
  <c r="E779" i="16"/>
  <c r="D779" i="16"/>
  <c r="E778" i="16"/>
  <c r="D778" i="16"/>
  <c r="E777" i="16"/>
  <c r="D777" i="16"/>
  <c r="E776" i="16"/>
  <c r="D776" i="16"/>
  <c r="B776" i="16" s="1"/>
  <c r="E775" i="16"/>
  <c r="D775" i="16"/>
  <c r="C775" i="16" s="1"/>
  <c r="E774" i="16"/>
  <c r="D774" i="16"/>
  <c r="C774" i="16" s="1"/>
  <c r="E773" i="16"/>
  <c r="D773" i="16"/>
  <c r="E772" i="16"/>
  <c r="D772" i="16"/>
  <c r="B772" i="16" s="1"/>
  <c r="E771" i="16"/>
  <c r="D771" i="16"/>
  <c r="B771" i="16" s="1"/>
  <c r="E770" i="16"/>
  <c r="D770" i="16"/>
  <c r="B770" i="16" s="1"/>
  <c r="E769" i="16"/>
  <c r="D769" i="16"/>
  <c r="B769" i="16" s="1"/>
  <c r="E768" i="16"/>
  <c r="D768" i="16"/>
  <c r="B768" i="16" s="1"/>
  <c r="E767" i="16"/>
  <c r="D767" i="16"/>
  <c r="C767" i="16" s="1"/>
  <c r="E766" i="16"/>
  <c r="D766" i="16"/>
  <c r="B766" i="16" s="1"/>
  <c r="C766" i="16"/>
  <c r="E765" i="16"/>
  <c r="D765" i="16"/>
  <c r="E764" i="16"/>
  <c r="D764" i="16"/>
  <c r="B764" i="16" s="1"/>
  <c r="E763" i="16"/>
  <c r="D763" i="16"/>
  <c r="C763" i="16" s="1"/>
  <c r="E762" i="16"/>
  <c r="D762" i="16"/>
  <c r="E761" i="16"/>
  <c r="D761" i="16"/>
  <c r="B761" i="16" s="1"/>
  <c r="E760" i="16"/>
  <c r="D760" i="16"/>
  <c r="B760" i="16" s="1"/>
  <c r="E759" i="16"/>
  <c r="D759" i="16"/>
  <c r="E758" i="16"/>
  <c r="D758" i="16"/>
  <c r="C758" i="16" s="1"/>
  <c r="B758" i="16"/>
  <c r="E757" i="16"/>
  <c r="D757" i="16"/>
  <c r="E756" i="16"/>
  <c r="D756" i="16"/>
  <c r="E755" i="16"/>
  <c r="D755" i="16"/>
  <c r="C755" i="16" s="1"/>
  <c r="E754" i="16"/>
  <c r="D754" i="16"/>
  <c r="C754" i="16" s="1"/>
  <c r="E753" i="16"/>
  <c r="D753" i="16"/>
  <c r="E752" i="16"/>
  <c r="D752" i="16"/>
  <c r="B752" i="16" s="1"/>
  <c r="E751" i="16"/>
  <c r="D751" i="16"/>
  <c r="C751" i="16" s="1"/>
  <c r="E750" i="16"/>
  <c r="D750" i="16"/>
  <c r="B750" i="16" s="1"/>
  <c r="E749" i="16"/>
  <c r="D749" i="16"/>
  <c r="B749" i="16" s="1"/>
  <c r="E748" i="16"/>
  <c r="D748" i="16"/>
  <c r="E747" i="16"/>
  <c r="D747" i="16"/>
  <c r="E746" i="16"/>
  <c r="D746" i="16"/>
  <c r="C746" i="16" s="1"/>
  <c r="E745" i="16"/>
  <c r="D745" i="16"/>
  <c r="C745" i="16" s="1"/>
  <c r="E744" i="16"/>
  <c r="D744" i="16"/>
  <c r="B744" i="16" s="1"/>
  <c r="E743" i="16"/>
  <c r="D743" i="16"/>
  <c r="E742" i="16"/>
  <c r="D742" i="16"/>
  <c r="C742" i="16" s="1"/>
  <c r="E741" i="16"/>
  <c r="D741" i="16"/>
  <c r="B741" i="16" s="1"/>
  <c r="E740" i="16"/>
  <c r="D740" i="16"/>
  <c r="B740" i="16" s="1"/>
  <c r="E739" i="16"/>
  <c r="D739" i="16"/>
  <c r="E738" i="16"/>
  <c r="D738" i="16"/>
  <c r="E737" i="16"/>
  <c r="D737" i="16"/>
  <c r="B737" i="16" s="1"/>
  <c r="E736" i="16"/>
  <c r="D736" i="16"/>
  <c r="B736" i="16" s="1"/>
  <c r="E735" i="16"/>
  <c r="D735" i="16"/>
  <c r="B735" i="16" s="1"/>
  <c r="E734" i="16"/>
  <c r="B734" i="16" s="1"/>
  <c r="D734" i="16"/>
  <c r="C734" i="16" s="1"/>
  <c r="E733" i="16"/>
  <c r="D733" i="16"/>
  <c r="B733" i="16" s="1"/>
  <c r="E732" i="16"/>
  <c r="D732" i="16"/>
  <c r="B732" i="16" s="1"/>
  <c r="E731" i="16"/>
  <c r="D731" i="16"/>
  <c r="B731" i="16" s="1"/>
  <c r="E730" i="16"/>
  <c r="D730" i="16"/>
  <c r="B730" i="16" s="1"/>
  <c r="E729" i="16"/>
  <c r="D729" i="16"/>
  <c r="B729" i="16" s="1"/>
  <c r="E728" i="16"/>
  <c r="D728" i="16"/>
  <c r="B728" i="16" s="1"/>
  <c r="E727" i="16"/>
  <c r="D727" i="16"/>
  <c r="C727" i="16" s="1"/>
  <c r="E726" i="16"/>
  <c r="D726" i="16"/>
  <c r="B726" i="16" s="1"/>
  <c r="E725" i="16"/>
  <c r="D725" i="16"/>
  <c r="E724" i="16"/>
  <c r="D724" i="16"/>
  <c r="B724" i="16" s="1"/>
  <c r="E723" i="16"/>
  <c r="D723" i="16"/>
  <c r="C723" i="16" s="1"/>
  <c r="E722" i="16"/>
  <c r="D722" i="16"/>
  <c r="B722" i="16" s="1"/>
  <c r="E721" i="16"/>
  <c r="D721" i="16"/>
  <c r="E720" i="16"/>
  <c r="D720" i="16"/>
  <c r="B720" i="16" s="1"/>
  <c r="E719" i="16"/>
  <c r="D719" i="16"/>
  <c r="C719" i="16" s="1"/>
  <c r="E718" i="16"/>
  <c r="D718" i="16"/>
  <c r="C718" i="16" s="1"/>
  <c r="E717" i="16"/>
  <c r="D717" i="16"/>
  <c r="E716" i="16"/>
  <c r="D716" i="16"/>
  <c r="E715" i="16"/>
  <c r="D715" i="16"/>
  <c r="C715" i="16" s="1"/>
  <c r="E714" i="16"/>
  <c r="D714" i="16"/>
  <c r="E713" i="16"/>
  <c r="D713" i="16"/>
  <c r="B713" i="16" s="1"/>
  <c r="E712" i="16"/>
  <c r="D712" i="16"/>
  <c r="E711" i="16"/>
  <c r="D711" i="16"/>
  <c r="C711" i="16" s="1"/>
  <c r="E710" i="16"/>
  <c r="D710" i="16"/>
  <c r="C710" i="16" s="1"/>
  <c r="E709" i="16"/>
  <c r="D709" i="16"/>
  <c r="B709" i="16" s="1"/>
  <c r="E708" i="16"/>
  <c r="D708" i="16"/>
  <c r="E707" i="16"/>
  <c r="D707" i="16"/>
  <c r="C707" i="16" s="1"/>
  <c r="E706" i="16"/>
  <c r="D706" i="16"/>
  <c r="B706" i="16" s="1"/>
  <c r="E705" i="16"/>
  <c r="D705" i="16"/>
  <c r="B705" i="16" s="1"/>
  <c r="E704" i="16"/>
  <c r="D704" i="16"/>
  <c r="B704" i="16" s="1"/>
  <c r="E703" i="16"/>
  <c r="D703" i="16"/>
  <c r="C703" i="16" s="1"/>
  <c r="E702" i="16"/>
  <c r="D702" i="16"/>
  <c r="B702" i="16" s="1"/>
  <c r="F702" i="16" s="1"/>
  <c r="E701" i="16"/>
  <c r="D701" i="16"/>
  <c r="B701" i="16" s="1"/>
  <c r="E700" i="16"/>
  <c r="D700" i="16"/>
  <c r="B700" i="16" s="1"/>
  <c r="E699" i="16"/>
  <c r="D699" i="16"/>
  <c r="C699" i="16" s="1"/>
  <c r="E698" i="16"/>
  <c r="D698" i="16"/>
  <c r="C698" i="16" s="1"/>
  <c r="E697" i="16"/>
  <c r="D697" i="16"/>
  <c r="B697" i="16" s="1"/>
  <c r="E696" i="16"/>
  <c r="D696" i="16"/>
  <c r="B696" i="16" s="1"/>
  <c r="E695" i="16"/>
  <c r="D695" i="16"/>
  <c r="E694" i="16"/>
  <c r="D694" i="16"/>
  <c r="C694" i="16"/>
  <c r="E693" i="16"/>
  <c r="D693" i="16"/>
  <c r="B693" i="16" s="1"/>
  <c r="E692" i="16"/>
  <c r="D692" i="16"/>
  <c r="B692" i="16" s="1"/>
  <c r="E691" i="16"/>
  <c r="D691" i="16"/>
  <c r="C691" i="16" s="1"/>
  <c r="E690" i="16"/>
  <c r="D690" i="16"/>
  <c r="B690" i="16" s="1"/>
  <c r="E689" i="16"/>
  <c r="D689" i="16"/>
  <c r="E688" i="16"/>
  <c r="D688" i="16"/>
  <c r="B688" i="16" s="1"/>
  <c r="E687" i="16"/>
  <c r="D687" i="16"/>
  <c r="B687" i="16" s="1"/>
  <c r="E686" i="16"/>
  <c r="D686" i="16"/>
  <c r="E685" i="16"/>
  <c r="D685" i="16"/>
  <c r="E684" i="16"/>
  <c r="D684" i="16"/>
  <c r="B684" i="16" s="1"/>
  <c r="E683" i="16"/>
  <c r="D683" i="16"/>
  <c r="C683" i="16" s="1"/>
  <c r="E682" i="16"/>
  <c r="D682" i="16"/>
  <c r="B682" i="16" s="1"/>
  <c r="E681" i="16"/>
  <c r="D681" i="16"/>
  <c r="E680" i="16"/>
  <c r="D680" i="16"/>
  <c r="E679" i="16"/>
  <c r="D679" i="16"/>
  <c r="C679" i="16" s="1"/>
  <c r="E678" i="16"/>
  <c r="D678" i="16"/>
  <c r="C678" i="16" s="1"/>
  <c r="B678" i="16"/>
  <c r="E677" i="16"/>
  <c r="D677" i="16"/>
  <c r="E676" i="16"/>
  <c r="D676" i="16"/>
  <c r="E675" i="16"/>
  <c r="D675" i="16"/>
  <c r="C675" i="16" s="1"/>
  <c r="E674" i="16"/>
  <c r="D674" i="16"/>
  <c r="E673" i="16"/>
  <c r="D673" i="16"/>
  <c r="C673" i="16" s="1"/>
  <c r="E672" i="16"/>
  <c r="D672" i="16"/>
  <c r="E671" i="16"/>
  <c r="D671" i="16"/>
  <c r="E670" i="16"/>
  <c r="D670" i="16"/>
  <c r="C670" i="16" s="1"/>
  <c r="E669" i="16"/>
  <c r="D669" i="16"/>
  <c r="E668" i="16"/>
  <c r="D668" i="16"/>
  <c r="E667" i="16"/>
  <c r="D667" i="16"/>
  <c r="E666" i="16"/>
  <c r="D666" i="16"/>
  <c r="B666" i="16" s="1"/>
  <c r="E665" i="16"/>
  <c r="D665" i="16"/>
  <c r="B665" i="16" s="1"/>
  <c r="E664" i="16"/>
  <c r="D664" i="16"/>
  <c r="B664" i="16" s="1"/>
  <c r="E663" i="16"/>
  <c r="D663" i="16"/>
  <c r="C663" i="16" s="1"/>
  <c r="E662" i="16"/>
  <c r="D662" i="16"/>
  <c r="E661" i="16"/>
  <c r="D661" i="16"/>
  <c r="E660" i="16"/>
  <c r="D660" i="16"/>
  <c r="B660" i="16" s="1"/>
  <c r="E659" i="16"/>
  <c r="D659" i="16"/>
  <c r="E658" i="16"/>
  <c r="D658" i="16"/>
  <c r="E657" i="16"/>
  <c r="D657" i="16"/>
  <c r="B657" i="16" s="1"/>
  <c r="E656" i="16"/>
  <c r="D656" i="16"/>
  <c r="E655" i="16"/>
  <c r="D655" i="16"/>
  <c r="B655" i="16" s="1"/>
  <c r="E654" i="16"/>
  <c r="D654" i="16"/>
  <c r="C654" i="16" s="1"/>
  <c r="E653" i="16"/>
  <c r="D653" i="16"/>
  <c r="B653" i="16" s="1"/>
  <c r="E652" i="16"/>
  <c r="D652" i="16"/>
  <c r="E651" i="16"/>
  <c r="D651" i="16"/>
  <c r="C651" i="16" s="1"/>
  <c r="E650" i="16"/>
  <c r="D650" i="16"/>
  <c r="B650" i="16" s="1"/>
  <c r="E649" i="16"/>
  <c r="D649" i="16"/>
  <c r="E648" i="16"/>
  <c r="D648" i="16"/>
  <c r="B648" i="16" s="1"/>
  <c r="E647" i="16"/>
  <c r="D647" i="16"/>
  <c r="C647" i="16" s="1"/>
  <c r="E646" i="16"/>
  <c r="D646" i="16"/>
  <c r="B646" i="16" s="1"/>
  <c r="E645" i="16"/>
  <c r="D645" i="16"/>
  <c r="E644" i="16"/>
  <c r="D644" i="16"/>
  <c r="E643" i="16"/>
  <c r="D643" i="16"/>
  <c r="C643" i="16" s="1"/>
  <c r="E642" i="16"/>
  <c r="D642" i="16"/>
  <c r="E641" i="16"/>
  <c r="D641" i="16"/>
  <c r="E640" i="16"/>
  <c r="D640" i="16"/>
  <c r="E639" i="16"/>
  <c r="D639" i="16"/>
  <c r="C639" i="16" s="1"/>
  <c r="E638" i="16"/>
  <c r="D638" i="16"/>
  <c r="B638" i="16" s="1"/>
  <c r="E637" i="16"/>
  <c r="D637" i="16"/>
  <c r="E636" i="16"/>
  <c r="D636" i="16"/>
  <c r="E635" i="16"/>
  <c r="D635" i="16"/>
  <c r="C635" i="16" s="1"/>
  <c r="E634" i="16"/>
  <c r="D634" i="16"/>
  <c r="E633" i="16"/>
  <c r="D633" i="16"/>
  <c r="C633" i="16" s="1"/>
  <c r="E632" i="16"/>
  <c r="D632" i="16"/>
  <c r="E631" i="16"/>
  <c r="D631" i="16"/>
  <c r="E630" i="16"/>
  <c r="D630" i="16"/>
  <c r="E629" i="16"/>
  <c r="D629" i="16"/>
  <c r="B629" i="16" s="1"/>
  <c r="E628" i="16"/>
  <c r="D628" i="16"/>
  <c r="E627" i="16"/>
  <c r="D627" i="16"/>
  <c r="C627" i="16" s="1"/>
  <c r="E626" i="16"/>
  <c r="D626" i="16"/>
  <c r="C626" i="16" s="1"/>
  <c r="E625" i="16"/>
  <c r="D625" i="16"/>
  <c r="B625" i="16" s="1"/>
  <c r="E624" i="16"/>
  <c r="D624" i="16"/>
  <c r="B624" i="16" s="1"/>
  <c r="E623" i="16"/>
  <c r="D623" i="16"/>
  <c r="C623" i="16" s="1"/>
  <c r="E622" i="16"/>
  <c r="D622" i="16"/>
  <c r="C622" i="16" s="1"/>
  <c r="E621" i="16"/>
  <c r="D621" i="16"/>
  <c r="E620" i="16"/>
  <c r="D620" i="16"/>
  <c r="C620" i="16" s="1"/>
  <c r="E619" i="16"/>
  <c r="D619" i="16"/>
  <c r="E618" i="16"/>
  <c r="D618" i="16"/>
  <c r="C618" i="16" s="1"/>
  <c r="E617" i="16"/>
  <c r="D617" i="16"/>
  <c r="E616" i="16"/>
  <c r="D616" i="16"/>
  <c r="C616" i="16" s="1"/>
  <c r="E615" i="16"/>
  <c r="D615" i="16"/>
  <c r="B615" i="16" s="1"/>
  <c r="E614" i="16"/>
  <c r="D614" i="16"/>
  <c r="C614" i="16" s="1"/>
  <c r="E613" i="16"/>
  <c r="D613" i="16"/>
  <c r="C613" i="16" s="1"/>
  <c r="E612" i="16"/>
  <c r="D612" i="16"/>
  <c r="E611" i="16"/>
  <c r="D611" i="16"/>
  <c r="B611" i="16" s="1"/>
  <c r="E610" i="16"/>
  <c r="D610" i="16"/>
  <c r="C610" i="16" s="1"/>
  <c r="E609" i="16"/>
  <c r="D609" i="16"/>
  <c r="E608" i="16"/>
  <c r="D608" i="16"/>
  <c r="C608" i="16" s="1"/>
  <c r="E607" i="16"/>
  <c r="D607" i="16"/>
  <c r="E606" i="16"/>
  <c r="D606" i="16"/>
  <c r="C606" i="16" s="1"/>
  <c r="E605" i="16"/>
  <c r="D605" i="16"/>
  <c r="E604" i="16"/>
  <c r="D604" i="16"/>
  <c r="C604" i="16" s="1"/>
  <c r="E603" i="16"/>
  <c r="D603" i="16"/>
  <c r="E602" i="16"/>
  <c r="D602" i="16"/>
  <c r="E601" i="16"/>
  <c r="D601" i="16"/>
  <c r="E600" i="16"/>
  <c r="D600" i="16"/>
  <c r="C600" i="16" s="1"/>
  <c r="E599" i="16"/>
  <c r="D599" i="16"/>
  <c r="C599" i="16" s="1"/>
  <c r="E598" i="16"/>
  <c r="D598" i="16"/>
  <c r="E597" i="16"/>
  <c r="D597" i="16"/>
  <c r="C597" i="16" s="1"/>
  <c r="E596" i="16"/>
  <c r="D596" i="16"/>
  <c r="E595" i="16"/>
  <c r="D595" i="16"/>
  <c r="C595" i="16" s="1"/>
  <c r="E594" i="16"/>
  <c r="D594" i="16"/>
  <c r="B594" i="16" s="1"/>
  <c r="E593" i="16"/>
  <c r="D593" i="16"/>
  <c r="E592" i="16"/>
  <c r="D592" i="16"/>
  <c r="E591" i="16"/>
  <c r="D591" i="16"/>
  <c r="E590" i="16"/>
  <c r="D590" i="16"/>
  <c r="C590" i="16" s="1"/>
  <c r="E589" i="16"/>
  <c r="D589" i="16"/>
  <c r="E588" i="16"/>
  <c r="D588" i="16"/>
  <c r="E587" i="16"/>
  <c r="D587" i="16"/>
  <c r="C587" i="16" s="1"/>
  <c r="E586" i="16"/>
  <c r="D586" i="16"/>
  <c r="E585" i="16"/>
  <c r="D585" i="16"/>
  <c r="E584" i="16"/>
  <c r="D584" i="16"/>
  <c r="E583" i="16"/>
  <c r="B583" i="16" s="1"/>
  <c r="D583" i="16"/>
  <c r="E582" i="16"/>
  <c r="D582" i="16"/>
  <c r="E581" i="16"/>
  <c r="D581" i="16"/>
  <c r="E580" i="16"/>
  <c r="D580" i="16"/>
  <c r="C580" i="16" s="1"/>
  <c r="E579" i="16"/>
  <c r="D579" i="16"/>
  <c r="C579" i="16" s="1"/>
  <c r="E578" i="16"/>
  <c r="D578" i="16"/>
  <c r="C578" i="16" s="1"/>
  <c r="E577" i="16"/>
  <c r="D577" i="16"/>
  <c r="E576" i="16"/>
  <c r="D576" i="16"/>
  <c r="C576" i="16" s="1"/>
  <c r="E575" i="16"/>
  <c r="D575" i="16"/>
  <c r="E574" i="16"/>
  <c r="D574" i="16"/>
  <c r="C574" i="16" s="1"/>
  <c r="E573" i="16"/>
  <c r="D573" i="16"/>
  <c r="B573" i="16" s="1"/>
  <c r="E572" i="16"/>
  <c r="D572" i="16"/>
  <c r="E571" i="16"/>
  <c r="D571" i="16"/>
  <c r="E570" i="16"/>
  <c r="D570" i="16"/>
  <c r="E569" i="16"/>
  <c r="D569" i="16"/>
  <c r="C569" i="16" s="1"/>
  <c r="E568" i="16"/>
  <c r="D568" i="16"/>
  <c r="C568" i="16" s="1"/>
  <c r="B568" i="16"/>
  <c r="E567" i="16"/>
  <c r="D567" i="16"/>
  <c r="B567" i="16" s="1"/>
  <c r="E566" i="16"/>
  <c r="D566" i="16"/>
  <c r="B566" i="16" s="1"/>
  <c r="E565" i="16"/>
  <c r="D565" i="16"/>
  <c r="E564" i="16"/>
  <c r="D564" i="16"/>
  <c r="E563" i="16"/>
  <c r="D563" i="16"/>
  <c r="B563" i="16" s="1"/>
  <c r="E562" i="16"/>
  <c r="D562" i="16"/>
  <c r="B562" i="16" s="1"/>
  <c r="E561" i="16"/>
  <c r="D561" i="16"/>
  <c r="C561" i="16" s="1"/>
  <c r="E560" i="16"/>
  <c r="D560" i="16"/>
  <c r="B560" i="16" s="1"/>
  <c r="E559" i="16"/>
  <c r="D559" i="16"/>
  <c r="C559" i="16" s="1"/>
  <c r="E558" i="16"/>
  <c r="D558" i="16"/>
  <c r="E557" i="16"/>
  <c r="D557" i="16"/>
  <c r="C557" i="16" s="1"/>
  <c r="E556" i="16"/>
  <c r="D556" i="16"/>
  <c r="B556" i="16" s="1"/>
  <c r="E555" i="16"/>
  <c r="D555" i="16"/>
  <c r="C555" i="16" s="1"/>
  <c r="E554" i="16"/>
  <c r="D554" i="16"/>
  <c r="B554" i="16" s="1"/>
  <c r="E553" i="16"/>
  <c r="D553" i="16"/>
  <c r="B553" i="16" s="1"/>
  <c r="F553" i="16" s="1"/>
  <c r="E552" i="16"/>
  <c r="D552" i="16"/>
  <c r="B552" i="16" s="1"/>
  <c r="C552" i="16"/>
  <c r="E551" i="16"/>
  <c r="D551" i="16"/>
  <c r="E550" i="16"/>
  <c r="D550" i="16"/>
  <c r="C550" i="16" s="1"/>
  <c r="E549" i="16"/>
  <c r="D549" i="16"/>
  <c r="B549" i="16" s="1"/>
  <c r="E548" i="16"/>
  <c r="D548" i="16"/>
  <c r="B548" i="16" s="1"/>
  <c r="E547" i="16"/>
  <c r="D547" i="16"/>
  <c r="E546" i="16"/>
  <c r="D546" i="16"/>
  <c r="C546" i="16" s="1"/>
  <c r="E545" i="16"/>
  <c r="D545" i="16"/>
  <c r="B545" i="16" s="1"/>
  <c r="E544" i="16"/>
  <c r="D544" i="16"/>
  <c r="B544" i="16" s="1"/>
  <c r="E543" i="16"/>
  <c r="D543" i="16"/>
  <c r="B543" i="16" s="1"/>
  <c r="E542" i="16"/>
  <c r="D542" i="16"/>
  <c r="B542" i="16" s="1"/>
  <c r="E541" i="16"/>
  <c r="D541" i="16"/>
  <c r="E540" i="16"/>
  <c r="D540" i="16"/>
  <c r="C540" i="16" s="1"/>
  <c r="E539" i="16"/>
  <c r="D539" i="16"/>
  <c r="C539" i="16" s="1"/>
  <c r="E538" i="16"/>
  <c r="D538" i="16"/>
  <c r="C538" i="16" s="1"/>
  <c r="E537" i="16"/>
  <c r="D537" i="16"/>
  <c r="B537" i="16" s="1"/>
  <c r="E536" i="16"/>
  <c r="D536" i="16"/>
  <c r="C536" i="16" s="1"/>
  <c r="E535" i="16"/>
  <c r="D535" i="16"/>
  <c r="E534" i="16"/>
  <c r="D534" i="16"/>
  <c r="B534" i="16" s="1"/>
  <c r="E533" i="16"/>
  <c r="D533" i="16"/>
  <c r="C533" i="16" s="1"/>
  <c r="E532" i="16"/>
  <c r="D532" i="16"/>
  <c r="E531" i="16"/>
  <c r="D531" i="16"/>
  <c r="B531" i="16" s="1"/>
  <c r="E530" i="16"/>
  <c r="D530" i="16"/>
  <c r="C530" i="16" s="1"/>
  <c r="E529" i="16"/>
  <c r="D529" i="16"/>
  <c r="E528" i="16"/>
  <c r="D528" i="16"/>
  <c r="C528" i="16" s="1"/>
  <c r="B528" i="16"/>
  <c r="E527" i="16"/>
  <c r="D527" i="16"/>
  <c r="E526" i="16"/>
  <c r="D526" i="16"/>
  <c r="B526" i="16" s="1"/>
  <c r="E525" i="16"/>
  <c r="D525" i="16"/>
  <c r="B525" i="16" s="1"/>
  <c r="E524" i="16"/>
  <c r="D524" i="16"/>
  <c r="B524" i="16" s="1"/>
  <c r="C524" i="16"/>
  <c r="E523" i="16"/>
  <c r="D523" i="16"/>
  <c r="B523" i="16" s="1"/>
  <c r="E522" i="16"/>
  <c r="D522" i="16"/>
  <c r="C522" i="16" s="1"/>
  <c r="E521" i="16"/>
  <c r="D521" i="16"/>
  <c r="C521" i="16" s="1"/>
  <c r="E520" i="16"/>
  <c r="D520" i="16"/>
  <c r="C520" i="16" s="1"/>
  <c r="E519" i="16"/>
  <c r="D519" i="16"/>
  <c r="C519" i="16" s="1"/>
  <c r="E518" i="16"/>
  <c r="D518" i="16"/>
  <c r="B518" i="16" s="1"/>
  <c r="E517" i="16"/>
  <c r="D517" i="16"/>
  <c r="C517" i="16" s="1"/>
  <c r="E516" i="16"/>
  <c r="D516" i="16"/>
  <c r="C516" i="16" s="1"/>
  <c r="E515" i="16"/>
  <c r="D515" i="16"/>
  <c r="B515" i="16" s="1"/>
  <c r="C515" i="16"/>
  <c r="E514" i="16"/>
  <c r="D514" i="16"/>
  <c r="C514" i="16" s="1"/>
  <c r="B514" i="16"/>
  <c r="E513" i="16"/>
  <c r="D513" i="16"/>
  <c r="E512" i="16"/>
  <c r="D512" i="16"/>
  <c r="C512" i="16"/>
  <c r="E511" i="16"/>
  <c r="D511" i="16"/>
  <c r="C511" i="16" s="1"/>
  <c r="E510" i="16"/>
  <c r="D510" i="16"/>
  <c r="C510" i="16" s="1"/>
  <c r="E509" i="16"/>
  <c r="D509" i="16"/>
  <c r="E508" i="16"/>
  <c r="D508" i="16"/>
  <c r="C508" i="16" s="1"/>
  <c r="E507" i="16"/>
  <c r="D507" i="16"/>
  <c r="B507" i="16" s="1"/>
  <c r="E506" i="16"/>
  <c r="D506" i="16"/>
  <c r="C506" i="16" s="1"/>
  <c r="E505" i="16"/>
  <c r="D505" i="16"/>
  <c r="E504" i="16"/>
  <c r="D504" i="16"/>
  <c r="B504" i="16" s="1"/>
  <c r="E503" i="16"/>
  <c r="D503" i="16"/>
  <c r="B503" i="16" s="1"/>
  <c r="E502" i="16"/>
  <c r="D502" i="16"/>
  <c r="E501" i="16"/>
  <c r="D501" i="16"/>
  <c r="C501" i="16" s="1"/>
  <c r="E500" i="16"/>
  <c r="D500" i="16"/>
  <c r="C500" i="16" s="1"/>
  <c r="E499" i="16"/>
  <c r="D499" i="16"/>
  <c r="C499" i="16" s="1"/>
  <c r="E498" i="16"/>
  <c r="D498" i="16"/>
  <c r="B498" i="16" s="1"/>
  <c r="E497" i="16"/>
  <c r="D497" i="16"/>
  <c r="C497" i="16" s="1"/>
  <c r="E496" i="16"/>
  <c r="D496" i="16"/>
  <c r="C496" i="16" s="1"/>
  <c r="E495" i="16"/>
  <c r="D495" i="16"/>
  <c r="B495" i="16" s="1"/>
  <c r="E494" i="16"/>
  <c r="D494" i="16"/>
  <c r="C494" i="16" s="1"/>
  <c r="E493" i="16"/>
  <c r="D493" i="16"/>
  <c r="B493" i="16" s="1"/>
  <c r="E492" i="16"/>
  <c r="D492" i="16"/>
  <c r="E491" i="16"/>
  <c r="D491" i="16"/>
  <c r="C491" i="16" s="1"/>
  <c r="E490" i="16"/>
  <c r="D490" i="16"/>
  <c r="C490" i="16" s="1"/>
  <c r="E489" i="16"/>
  <c r="D489" i="16"/>
  <c r="B489" i="16" s="1"/>
  <c r="E488" i="16"/>
  <c r="D488" i="16"/>
  <c r="C488" i="16" s="1"/>
  <c r="E487" i="16"/>
  <c r="D487" i="16"/>
  <c r="B487" i="16" s="1"/>
  <c r="E486" i="16"/>
  <c r="D486" i="16"/>
  <c r="E485" i="16"/>
  <c r="D485" i="16"/>
  <c r="C485" i="16" s="1"/>
  <c r="E484" i="16"/>
  <c r="D484" i="16"/>
  <c r="C484" i="16" s="1"/>
  <c r="E483" i="16"/>
  <c r="D483" i="16"/>
  <c r="C483" i="16" s="1"/>
  <c r="E482" i="16"/>
  <c r="D482" i="16"/>
  <c r="C482" i="16" s="1"/>
  <c r="E481" i="16"/>
  <c r="D481" i="16"/>
  <c r="C481" i="16" s="1"/>
  <c r="E480" i="16"/>
  <c r="D480" i="16"/>
  <c r="C480" i="16" s="1"/>
  <c r="E479" i="16"/>
  <c r="D479" i="16"/>
  <c r="C479" i="16" s="1"/>
  <c r="E478" i="16"/>
  <c r="D478" i="16"/>
  <c r="C478" i="16" s="1"/>
  <c r="E477" i="16"/>
  <c r="D477" i="16"/>
  <c r="C477" i="16" s="1"/>
  <c r="E476" i="16"/>
  <c r="D476" i="16"/>
  <c r="B476" i="16" s="1"/>
  <c r="E475" i="16"/>
  <c r="D475" i="16"/>
  <c r="C475" i="16" s="1"/>
  <c r="E474" i="16"/>
  <c r="D474" i="16"/>
  <c r="E473" i="16"/>
  <c r="D473" i="16"/>
  <c r="B473" i="16" s="1"/>
  <c r="E472" i="16"/>
  <c r="D472" i="16"/>
  <c r="C472" i="16" s="1"/>
  <c r="E471" i="16"/>
  <c r="D471" i="16"/>
  <c r="E470" i="16"/>
  <c r="D470" i="16"/>
  <c r="C470" i="16" s="1"/>
  <c r="E469" i="16"/>
  <c r="D469" i="16"/>
  <c r="C469" i="16" s="1"/>
  <c r="E468" i="16"/>
  <c r="D468" i="16"/>
  <c r="C468" i="16" s="1"/>
  <c r="E467" i="16"/>
  <c r="D467" i="16"/>
  <c r="E466" i="16"/>
  <c r="D466" i="16"/>
  <c r="B466" i="16" s="1"/>
  <c r="E465" i="16"/>
  <c r="D465" i="16"/>
  <c r="C465" i="16" s="1"/>
  <c r="E464" i="16"/>
  <c r="D464" i="16"/>
  <c r="C464" i="16" s="1"/>
  <c r="B464" i="16"/>
  <c r="E463" i="16"/>
  <c r="D463" i="16"/>
  <c r="C463" i="16" s="1"/>
  <c r="E462" i="16"/>
  <c r="D462" i="16"/>
  <c r="C462" i="16" s="1"/>
  <c r="E461" i="16"/>
  <c r="D461" i="16"/>
  <c r="E460" i="16"/>
  <c r="D460" i="16"/>
  <c r="C460" i="16" s="1"/>
  <c r="B460" i="16"/>
  <c r="E459" i="16"/>
  <c r="D459" i="16"/>
  <c r="C459" i="16" s="1"/>
  <c r="E458" i="16"/>
  <c r="D458" i="16"/>
  <c r="C458" i="16" s="1"/>
  <c r="E457" i="16"/>
  <c r="D457" i="16"/>
  <c r="C457" i="16" s="1"/>
  <c r="E456" i="16"/>
  <c r="D456" i="16"/>
  <c r="C456" i="16" s="1"/>
  <c r="E455" i="16"/>
  <c r="D455" i="16"/>
  <c r="C455" i="16" s="1"/>
  <c r="E454" i="16"/>
  <c r="D454" i="16"/>
  <c r="C454" i="16" s="1"/>
  <c r="E453" i="16"/>
  <c r="D453" i="16"/>
  <c r="E452" i="16"/>
  <c r="D452" i="16"/>
  <c r="C452" i="16" s="1"/>
  <c r="E451" i="16"/>
  <c r="D451" i="16"/>
  <c r="E450" i="16"/>
  <c r="D450" i="16"/>
  <c r="E449" i="16"/>
  <c r="D449" i="16"/>
  <c r="C449" i="16" s="1"/>
  <c r="E448" i="16"/>
  <c r="D448" i="16"/>
  <c r="B448" i="16" s="1"/>
  <c r="E447" i="16"/>
  <c r="D447" i="16"/>
  <c r="C447" i="16" s="1"/>
  <c r="E446" i="16"/>
  <c r="D446" i="16"/>
  <c r="B446" i="16" s="1"/>
  <c r="E445" i="16"/>
  <c r="D445" i="16"/>
  <c r="E444" i="16"/>
  <c r="D444" i="16"/>
  <c r="B444" i="16" s="1"/>
  <c r="E443" i="16"/>
  <c r="D443" i="16"/>
  <c r="C443" i="16" s="1"/>
  <c r="E442" i="16"/>
  <c r="D442" i="16"/>
  <c r="C442" i="16" s="1"/>
  <c r="B442" i="16"/>
  <c r="E441" i="16"/>
  <c r="D441" i="16"/>
  <c r="C441" i="16" s="1"/>
  <c r="E440" i="16"/>
  <c r="D440" i="16"/>
  <c r="C440" i="16" s="1"/>
  <c r="E439" i="16"/>
  <c r="D439" i="16"/>
  <c r="E438" i="16"/>
  <c r="D438" i="16"/>
  <c r="C438" i="16" s="1"/>
  <c r="E437" i="16"/>
  <c r="D437" i="16"/>
  <c r="B437" i="16" s="1"/>
  <c r="E436" i="16"/>
  <c r="D436" i="16"/>
  <c r="B436" i="16" s="1"/>
  <c r="E435" i="16"/>
  <c r="D435" i="16"/>
  <c r="C435" i="16" s="1"/>
  <c r="E434" i="16"/>
  <c r="D434" i="16"/>
  <c r="C434" i="16" s="1"/>
  <c r="E433" i="16"/>
  <c r="D433" i="16"/>
  <c r="B433" i="16" s="1"/>
  <c r="E432" i="16"/>
  <c r="D432" i="16"/>
  <c r="C432" i="16" s="1"/>
  <c r="E431" i="16"/>
  <c r="D431" i="16"/>
  <c r="C431" i="16" s="1"/>
  <c r="E430" i="16"/>
  <c r="D430" i="16"/>
  <c r="C430" i="16" s="1"/>
  <c r="E429" i="16"/>
  <c r="D429" i="16"/>
  <c r="E428" i="16"/>
  <c r="D428" i="16"/>
  <c r="B428" i="16" s="1"/>
  <c r="E427" i="16"/>
  <c r="D427" i="16"/>
  <c r="B427" i="16" s="1"/>
  <c r="E426" i="16"/>
  <c r="D426" i="16"/>
  <c r="C426" i="16" s="1"/>
  <c r="E425" i="16"/>
  <c r="D425" i="16"/>
  <c r="C425" i="16" s="1"/>
  <c r="B425" i="16"/>
  <c r="E424" i="16"/>
  <c r="D424" i="16"/>
  <c r="C424" i="16" s="1"/>
  <c r="E423" i="16"/>
  <c r="D423" i="16"/>
  <c r="B423" i="16" s="1"/>
  <c r="E422" i="16"/>
  <c r="D422" i="16"/>
  <c r="C422" i="16" s="1"/>
  <c r="E421" i="16"/>
  <c r="D421" i="16"/>
  <c r="C421" i="16" s="1"/>
  <c r="E420" i="16"/>
  <c r="D420" i="16"/>
  <c r="C420" i="16" s="1"/>
  <c r="E419" i="16"/>
  <c r="D419" i="16"/>
  <c r="C419" i="16" s="1"/>
  <c r="E418" i="16"/>
  <c r="D418" i="16"/>
  <c r="C418" i="16" s="1"/>
  <c r="E417" i="16"/>
  <c r="D417" i="16"/>
  <c r="C417" i="16" s="1"/>
  <c r="E416" i="16"/>
  <c r="D416" i="16"/>
  <c r="C416" i="16" s="1"/>
  <c r="E415" i="16"/>
  <c r="D415" i="16"/>
  <c r="B415" i="16" s="1"/>
  <c r="E414" i="16"/>
  <c r="D414" i="16"/>
  <c r="C414" i="16" s="1"/>
  <c r="E413" i="16"/>
  <c r="D413" i="16"/>
  <c r="B413" i="16" s="1"/>
  <c r="E412" i="16"/>
  <c r="D412" i="16"/>
  <c r="E411" i="16"/>
  <c r="D411" i="16"/>
  <c r="C411" i="16" s="1"/>
  <c r="E410" i="16"/>
  <c r="D410" i="16"/>
  <c r="C410" i="16" s="1"/>
  <c r="E409" i="16"/>
  <c r="D409" i="16"/>
  <c r="B409" i="16" s="1"/>
  <c r="E408" i="16"/>
  <c r="D408" i="16"/>
  <c r="B408" i="16" s="1"/>
  <c r="E407" i="16"/>
  <c r="D407" i="16"/>
  <c r="B407" i="16" s="1"/>
  <c r="E406" i="16"/>
  <c r="D406" i="16"/>
  <c r="B406" i="16" s="1"/>
  <c r="E405" i="16"/>
  <c r="D405" i="16"/>
  <c r="C405" i="16" s="1"/>
  <c r="E404" i="16"/>
  <c r="D404" i="16"/>
  <c r="B404" i="16" s="1"/>
  <c r="E403" i="16"/>
  <c r="D403" i="16"/>
  <c r="C403" i="16" s="1"/>
  <c r="E402" i="16"/>
  <c r="D402" i="16"/>
  <c r="B402" i="16" s="1"/>
  <c r="C402" i="16"/>
  <c r="E401" i="16"/>
  <c r="D401" i="16"/>
  <c r="E400" i="16"/>
  <c r="D400" i="16"/>
  <c r="C400" i="16" s="1"/>
  <c r="E399" i="16"/>
  <c r="D399" i="16"/>
  <c r="C399" i="16" s="1"/>
  <c r="E398" i="16"/>
  <c r="D398" i="16"/>
  <c r="C398" i="16" s="1"/>
  <c r="E397" i="16"/>
  <c r="D397" i="16"/>
  <c r="C397" i="16" s="1"/>
  <c r="E396" i="16"/>
  <c r="D396" i="16"/>
  <c r="C396" i="16" s="1"/>
  <c r="E395" i="16"/>
  <c r="D395" i="16"/>
  <c r="E394" i="16"/>
  <c r="D394" i="16"/>
  <c r="B394" i="16" s="1"/>
  <c r="E393" i="16"/>
  <c r="D393" i="16"/>
  <c r="B393" i="16" s="1"/>
  <c r="E392" i="16"/>
  <c r="D392" i="16"/>
  <c r="B392" i="16" s="1"/>
  <c r="E391" i="16"/>
  <c r="D391" i="16"/>
  <c r="E390" i="16"/>
  <c r="D390" i="16"/>
  <c r="C390" i="16" s="1"/>
  <c r="E389" i="16"/>
  <c r="D389" i="16"/>
  <c r="C389" i="16" s="1"/>
  <c r="E388" i="16"/>
  <c r="D388" i="16"/>
  <c r="E387" i="16"/>
  <c r="D387" i="16"/>
  <c r="E386" i="16"/>
  <c r="D386" i="16"/>
  <c r="B386" i="16" s="1"/>
  <c r="E385" i="16"/>
  <c r="D385" i="16"/>
  <c r="C385" i="16" s="1"/>
  <c r="E384" i="16"/>
  <c r="D384" i="16"/>
  <c r="B384" i="16" s="1"/>
  <c r="E383" i="16"/>
  <c r="D383" i="16"/>
  <c r="C383" i="16" s="1"/>
  <c r="E382" i="16"/>
  <c r="D382" i="16"/>
  <c r="C382" i="16" s="1"/>
  <c r="E381" i="16"/>
  <c r="D381" i="16"/>
  <c r="B381" i="16" s="1"/>
  <c r="E380" i="16"/>
  <c r="D380" i="16"/>
  <c r="B380" i="16" s="1"/>
  <c r="C380" i="16"/>
  <c r="E379" i="16"/>
  <c r="D379" i="16"/>
  <c r="C379" i="16" s="1"/>
  <c r="B379" i="16"/>
  <c r="E378" i="16"/>
  <c r="D378" i="16"/>
  <c r="B378" i="16" s="1"/>
  <c r="E377" i="16"/>
  <c r="D377" i="16"/>
  <c r="C377" i="16" s="1"/>
  <c r="E376" i="16"/>
  <c r="D376" i="16"/>
  <c r="C376" i="16" s="1"/>
  <c r="E375" i="16"/>
  <c r="D375" i="16"/>
  <c r="C375" i="16" s="1"/>
  <c r="E374" i="16"/>
  <c r="D374" i="16"/>
  <c r="E373" i="16"/>
  <c r="D373" i="16"/>
  <c r="E372" i="16"/>
  <c r="D372" i="16"/>
  <c r="C372" i="16" s="1"/>
  <c r="E371" i="16"/>
  <c r="D371" i="16"/>
  <c r="C371" i="16" s="1"/>
  <c r="E370" i="16"/>
  <c r="D370" i="16"/>
  <c r="E369" i="16"/>
  <c r="D369" i="16"/>
  <c r="C369" i="16" s="1"/>
  <c r="E368" i="16"/>
  <c r="D368" i="16"/>
  <c r="B368" i="16" s="1"/>
  <c r="E367" i="16"/>
  <c r="D367" i="16"/>
  <c r="E366" i="16"/>
  <c r="D366" i="16"/>
  <c r="B366" i="16" s="1"/>
  <c r="E365" i="16"/>
  <c r="D365" i="16"/>
  <c r="E364" i="16"/>
  <c r="D364" i="16"/>
  <c r="C364" i="16" s="1"/>
  <c r="E363" i="16"/>
  <c r="D363" i="16"/>
  <c r="B363" i="16" s="1"/>
  <c r="E362" i="16"/>
  <c r="D362" i="16"/>
  <c r="C362" i="16" s="1"/>
  <c r="E361" i="16"/>
  <c r="D361" i="16"/>
  <c r="E360" i="16"/>
  <c r="D360" i="16"/>
  <c r="C360" i="16" s="1"/>
  <c r="E359" i="16"/>
  <c r="D359" i="16"/>
  <c r="E358" i="16"/>
  <c r="D358" i="16"/>
  <c r="C358" i="16" s="1"/>
  <c r="E357" i="16"/>
  <c r="D357" i="16"/>
  <c r="B357" i="16" s="1"/>
  <c r="E356" i="16"/>
  <c r="D356" i="16"/>
  <c r="B356" i="16" s="1"/>
  <c r="E355" i="16"/>
  <c r="D355" i="16"/>
  <c r="E354" i="16"/>
  <c r="D354" i="16"/>
  <c r="B354" i="16" s="1"/>
  <c r="E353" i="16"/>
  <c r="D353" i="16"/>
  <c r="B353" i="16" s="1"/>
  <c r="E352" i="16"/>
  <c r="D352" i="16"/>
  <c r="C352" i="16" s="1"/>
  <c r="E351" i="16"/>
  <c r="D351" i="16"/>
  <c r="E350" i="16"/>
  <c r="D350" i="16"/>
  <c r="C350" i="16" s="1"/>
  <c r="E349" i="16"/>
  <c r="D349" i="16"/>
  <c r="E348" i="16"/>
  <c r="D348" i="16"/>
  <c r="B348" i="16" s="1"/>
  <c r="E347" i="16"/>
  <c r="D347" i="16"/>
  <c r="E346" i="16"/>
  <c r="D346" i="16"/>
  <c r="B346" i="16" s="1"/>
  <c r="E345" i="16"/>
  <c r="D345" i="16"/>
  <c r="B345" i="16" s="1"/>
  <c r="E344" i="16"/>
  <c r="D344" i="16"/>
  <c r="E343" i="16"/>
  <c r="D343" i="16"/>
  <c r="C343" i="16" s="1"/>
  <c r="E342" i="16"/>
  <c r="D342" i="16"/>
  <c r="C342" i="16"/>
  <c r="B342" i="16"/>
  <c r="E341" i="16"/>
  <c r="D341" i="16"/>
  <c r="B341" i="16" s="1"/>
  <c r="E340" i="16"/>
  <c r="D340" i="16"/>
  <c r="C340" i="16" s="1"/>
  <c r="E339" i="16"/>
  <c r="D339" i="16"/>
  <c r="C339" i="16" s="1"/>
  <c r="E338" i="16"/>
  <c r="D338" i="16"/>
  <c r="C338" i="16" s="1"/>
  <c r="E337" i="16"/>
  <c r="D337" i="16"/>
  <c r="C337" i="16" s="1"/>
  <c r="E336" i="16"/>
  <c r="D336" i="16"/>
  <c r="E335" i="16"/>
  <c r="D335" i="16"/>
  <c r="B335" i="16" s="1"/>
  <c r="E334" i="16"/>
  <c r="D334" i="16"/>
  <c r="C334" i="16" s="1"/>
  <c r="E333" i="16"/>
  <c r="D333" i="16"/>
  <c r="E332" i="16"/>
  <c r="D332" i="16"/>
  <c r="E331" i="16"/>
  <c r="D331" i="16"/>
  <c r="C331" i="16" s="1"/>
  <c r="E330" i="16"/>
  <c r="D330" i="16"/>
  <c r="E329" i="16"/>
  <c r="D329" i="16"/>
  <c r="E328" i="16"/>
  <c r="D328" i="16"/>
  <c r="B328" i="16" s="1"/>
  <c r="E327" i="16"/>
  <c r="D327" i="16"/>
  <c r="E326" i="16"/>
  <c r="D326" i="16"/>
  <c r="B326" i="16" s="1"/>
  <c r="E325" i="16"/>
  <c r="D325" i="16"/>
  <c r="C325" i="16" s="1"/>
  <c r="E324" i="16"/>
  <c r="D324" i="16"/>
  <c r="B324" i="16" s="1"/>
  <c r="E323" i="16"/>
  <c r="D323" i="16"/>
  <c r="E322" i="16"/>
  <c r="D322" i="16"/>
  <c r="C322" i="16" s="1"/>
  <c r="E321" i="16"/>
  <c r="D321" i="16"/>
  <c r="C321" i="16" s="1"/>
  <c r="E320" i="16"/>
  <c r="D320" i="16"/>
  <c r="C320" i="16" s="1"/>
  <c r="E319" i="16"/>
  <c r="D319" i="16"/>
  <c r="C319" i="16" s="1"/>
  <c r="E318" i="16"/>
  <c r="D318" i="16"/>
  <c r="E317" i="16"/>
  <c r="D317" i="16"/>
  <c r="E316" i="16"/>
  <c r="D316" i="16"/>
  <c r="C316" i="16"/>
  <c r="E315" i="16"/>
  <c r="D315" i="16"/>
  <c r="E314" i="16"/>
  <c r="D314" i="16"/>
  <c r="B314" i="16" s="1"/>
  <c r="C314" i="16"/>
  <c r="E313" i="16"/>
  <c r="D313" i="16"/>
  <c r="E312" i="16"/>
  <c r="D312" i="16"/>
  <c r="C312" i="16" s="1"/>
  <c r="E311" i="16"/>
  <c r="D311" i="16"/>
  <c r="E310" i="16"/>
  <c r="D310" i="16"/>
  <c r="C310" i="16" s="1"/>
  <c r="E309" i="16"/>
  <c r="D309" i="16"/>
  <c r="E308" i="16"/>
  <c r="D308" i="16"/>
  <c r="C308" i="16" s="1"/>
  <c r="E307" i="16"/>
  <c r="D307" i="16"/>
  <c r="B307" i="16" s="1"/>
  <c r="E306" i="16"/>
  <c r="D306" i="16"/>
  <c r="B306" i="16" s="1"/>
  <c r="E305" i="16"/>
  <c r="D305" i="16"/>
  <c r="C305" i="16" s="1"/>
  <c r="E304" i="16"/>
  <c r="D304" i="16"/>
  <c r="B304" i="16" s="1"/>
  <c r="E303" i="16"/>
  <c r="D303" i="16"/>
  <c r="E302" i="16"/>
  <c r="D302" i="16"/>
  <c r="C302" i="16" s="1"/>
  <c r="E301" i="16"/>
  <c r="D301" i="16"/>
  <c r="B301" i="16" s="1"/>
  <c r="E300" i="16"/>
  <c r="D300" i="16"/>
  <c r="C300" i="16" s="1"/>
  <c r="E299" i="16"/>
  <c r="D299" i="16"/>
  <c r="C299" i="16" s="1"/>
  <c r="E298" i="16"/>
  <c r="D298" i="16"/>
  <c r="B298" i="16" s="1"/>
  <c r="C298" i="16"/>
  <c r="E297" i="16"/>
  <c r="D297" i="16"/>
  <c r="C297" i="16" s="1"/>
  <c r="E296" i="16"/>
  <c r="D296" i="16"/>
  <c r="B296" i="16"/>
  <c r="E295" i="16"/>
  <c r="D295" i="16"/>
  <c r="C295" i="16" s="1"/>
  <c r="E294" i="16"/>
  <c r="D294" i="16"/>
  <c r="C294" i="16" s="1"/>
  <c r="E293" i="16"/>
  <c r="D293" i="16"/>
  <c r="B293" i="16" s="1"/>
  <c r="E292" i="16"/>
  <c r="D292" i="16"/>
  <c r="E291" i="16"/>
  <c r="D291" i="16"/>
  <c r="C291" i="16" s="1"/>
  <c r="E290" i="16"/>
  <c r="D290" i="16"/>
  <c r="B290" i="16" s="1"/>
  <c r="C290" i="16"/>
  <c r="E289" i="16"/>
  <c r="D289" i="16"/>
  <c r="E288" i="16"/>
  <c r="D288" i="16"/>
  <c r="B288" i="16" s="1"/>
  <c r="E287" i="16"/>
  <c r="D287" i="16"/>
  <c r="B287" i="16" s="1"/>
  <c r="E286" i="16"/>
  <c r="D286" i="16"/>
  <c r="B286" i="16" s="1"/>
  <c r="C286" i="16"/>
  <c r="E285" i="16"/>
  <c r="D285" i="16"/>
  <c r="B285" i="16" s="1"/>
  <c r="E284" i="16"/>
  <c r="D284" i="16"/>
  <c r="B284" i="16" s="1"/>
  <c r="E283" i="16"/>
  <c r="D283" i="16"/>
  <c r="C283" i="16" s="1"/>
  <c r="E282" i="16"/>
  <c r="D282" i="16"/>
  <c r="E281" i="16"/>
  <c r="D281" i="16"/>
  <c r="E280" i="16"/>
  <c r="D280" i="16"/>
  <c r="B280" i="16" s="1"/>
  <c r="E279" i="16"/>
  <c r="D279" i="16"/>
  <c r="C279" i="16" s="1"/>
  <c r="E278" i="16"/>
  <c r="D278" i="16"/>
  <c r="C278" i="16" s="1"/>
  <c r="E277" i="16"/>
  <c r="D277" i="16"/>
  <c r="C277" i="16" s="1"/>
  <c r="E276" i="16"/>
  <c r="D276" i="16"/>
  <c r="B276" i="16" s="1"/>
  <c r="E275" i="16"/>
  <c r="D275" i="16"/>
  <c r="E274" i="16"/>
  <c r="D274" i="16"/>
  <c r="C274" i="16" s="1"/>
  <c r="E273" i="16"/>
  <c r="D273" i="16"/>
  <c r="B273" i="16" s="1"/>
  <c r="E272" i="16"/>
  <c r="D272" i="16"/>
  <c r="B272" i="16" s="1"/>
  <c r="E271" i="16"/>
  <c r="D271" i="16"/>
  <c r="E270" i="16"/>
  <c r="D270" i="16"/>
  <c r="C270" i="16" s="1"/>
  <c r="E269" i="16"/>
  <c r="D269" i="16"/>
  <c r="C269" i="16" s="1"/>
  <c r="E268" i="16"/>
  <c r="D268" i="16"/>
  <c r="B268" i="16" s="1"/>
  <c r="E267" i="16"/>
  <c r="D267" i="16"/>
  <c r="B267" i="16" s="1"/>
  <c r="E266" i="16"/>
  <c r="D266" i="16"/>
  <c r="B266" i="16" s="1"/>
  <c r="E265" i="16"/>
  <c r="D265" i="16"/>
  <c r="E264" i="16"/>
  <c r="D264" i="16"/>
  <c r="B264" i="16" s="1"/>
  <c r="E263" i="16"/>
  <c r="D263" i="16"/>
  <c r="C263" i="16" s="1"/>
  <c r="E262" i="16"/>
  <c r="D262" i="16"/>
  <c r="C262" i="16" s="1"/>
  <c r="E261" i="16"/>
  <c r="D261" i="16"/>
  <c r="B261" i="16" s="1"/>
  <c r="E260" i="16"/>
  <c r="D260" i="16"/>
  <c r="B260" i="16" s="1"/>
  <c r="E259" i="16"/>
  <c r="D259" i="16"/>
  <c r="C259" i="16" s="1"/>
  <c r="E258" i="16"/>
  <c r="D258" i="16"/>
  <c r="C258" i="16" s="1"/>
  <c r="E257" i="16"/>
  <c r="D257" i="16"/>
  <c r="B257" i="16" s="1"/>
  <c r="E256" i="16"/>
  <c r="D256" i="16"/>
  <c r="B256" i="16" s="1"/>
  <c r="E255" i="16"/>
  <c r="D255" i="16"/>
  <c r="C255" i="16" s="1"/>
  <c r="E254" i="16"/>
  <c r="D254" i="16"/>
  <c r="C254" i="16" s="1"/>
  <c r="E253" i="16"/>
  <c r="D253" i="16"/>
  <c r="B253" i="16" s="1"/>
  <c r="E252" i="16"/>
  <c r="D252" i="16"/>
  <c r="B252" i="16" s="1"/>
  <c r="E251" i="16"/>
  <c r="D251" i="16"/>
  <c r="C251" i="16" s="1"/>
  <c r="E250" i="16"/>
  <c r="D250" i="16"/>
  <c r="C250" i="16" s="1"/>
  <c r="E249" i="16"/>
  <c r="D249" i="16"/>
  <c r="B249" i="16" s="1"/>
  <c r="F249" i="16" s="1"/>
  <c r="E248" i="16"/>
  <c r="D248" i="16"/>
  <c r="B248" i="16" s="1"/>
  <c r="E247" i="16"/>
  <c r="D247" i="16"/>
  <c r="E246" i="16"/>
  <c r="D246" i="16"/>
  <c r="B246" i="16" s="1"/>
  <c r="E245" i="16"/>
  <c r="D245" i="16"/>
  <c r="E244" i="16"/>
  <c r="D244" i="16"/>
  <c r="B244" i="16" s="1"/>
  <c r="E243" i="16"/>
  <c r="D243" i="16"/>
  <c r="C243" i="16" s="1"/>
  <c r="E242" i="16"/>
  <c r="D242" i="16"/>
  <c r="B242" i="16" s="1"/>
  <c r="E241" i="16"/>
  <c r="D241" i="16"/>
  <c r="C241" i="16" s="1"/>
  <c r="E240" i="16"/>
  <c r="D240" i="16"/>
  <c r="B240" i="16" s="1"/>
  <c r="E239" i="16"/>
  <c r="D239" i="16"/>
  <c r="E238" i="16"/>
  <c r="D238" i="16"/>
  <c r="B238" i="16" s="1"/>
  <c r="E237" i="16"/>
  <c r="D237" i="16"/>
  <c r="C237" i="16" s="1"/>
  <c r="E236" i="16"/>
  <c r="D236" i="16"/>
  <c r="B236" i="16" s="1"/>
  <c r="E235" i="16"/>
  <c r="D235" i="16"/>
  <c r="C235" i="16" s="1"/>
  <c r="E234" i="16"/>
  <c r="D234" i="16"/>
  <c r="C234" i="16" s="1"/>
  <c r="E233" i="16"/>
  <c r="D233" i="16"/>
  <c r="B233" i="16" s="1"/>
  <c r="E232" i="16"/>
  <c r="D232" i="16"/>
  <c r="B232" i="16" s="1"/>
  <c r="E231" i="16"/>
  <c r="D231" i="16"/>
  <c r="C231" i="16" s="1"/>
  <c r="E230" i="16"/>
  <c r="D230" i="16"/>
  <c r="C230" i="16" s="1"/>
  <c r="E229" i="16"/>
  <c r="D229" i="16"/>
  <c r="C229" i="16" s="1"/>
  <c r="E228" i="16"/>
  <c r="D228" i="16"/>
  <c r="B228" i="16" s="1"/>
  <c r="E227" i="16"/>
  <c r="D227" i="16"/>
  <c r="B227" i="16" s="1"/>
  <c r="E226" i="16"/>
  <c r="D226" i="16"/>
  <c r="C226" i="16" s="1"/>
  <c r="E225" i="16"/>
  <c r="D225" i="16"/>
  <c r="B225" i="16" s="1"/>
  <c r="E224" i="16"/>
  <c r="D224" i="16"/>
  <c r="B224" i="16" s="1"/>
  <c r="E223" i="16"/>
  <c r="D223" i="16"/>
  <c r="B223" i="16" s="1"/>
  <c r="E222" i="16"/>
  <c r="D222" i="16"/>
  <c r="C222" i="16" s="1"/>
  <c r="E221" i="16"/>
  <c r="D221" i="16"/>
  <c r="E220" i="16"/>
  <c r="D220" i="16"/>
  <c r="B220" i="16" s="1"/>
  <c r="E219" i="16"/>
  <c r="D219" i="16"/>
  <c r="C219" i="16" s="1"/>
  <c r="E218" i="16"/>
  <c r="D218" i="16"/>
  <c r="C218" i="16" s="1"/>
  <c r="E217" i="16"/>
  <c r="D217" i="16"/>
  <c r="B217" i="16" s="1"/>
  <c r="E216" i="16"/>
  <c r="D216" i="16"/>
  <c r="B216" i="16" s="1"/>
  <c r="E215" i="16"/>
  <c r="D215" i="16"/>
  <c r="C215" i="16" s="1"/>
  <c r="E214" i="16"/>
  <c r="D214" i="16"/>
  <c r="E213" i="16"/>
  <c r="D213" i="16"/>
  <c r="B213" i="16" s="1"/>
  <c r="E212" i="16"/>
  <c r="D212" i="16"/>
  <c r="B212" i="16" s="1"/>
  <c r="E211" i="16"/>
  <c r="D211" i="16"/>
  <c r="E210" i="16"/>
  <c r="D210" i="16"/>
  <c r="C210" i="16" s="1"/>
  <c r="B210" i="16"/>
  <c r="E209" i="16"/>
  <c r="D209" i="16"/>
  <c r="B209" i="16" s="1"/>
  <c r="E208" i="16"/>
  <c r="D208" i="16"/>
  <c r="B208" i="16" s="1"/>
  <c r="E207" i="16"/>
  <c r="D207" i="16"/>
  <c r="C207" i="16" s="1"/>
  <c r="E206" i="16"/>
  <c r="D206" i="16"/>
  <c r="E205" i="16"/>
  <c r="D205" i="16"/>
  <c r="E204" i="16"/>
  <c r="D204" i="16"/>
  <c r="B204" i="16" s="1"/>
  <c r="E203" i="16"/>
  <c r="D203" i="16"/>
  <c r="C203" i="16" s="1"/>
  <c r="E202" i="16"/>
  <c r="D202" i="16"/>
  <c r="B202" i="16" s="1"/>
  <c r="E201" i="16"/>
  <c r="D201" i="16"/>
  <c r="C201" i="16" s="1"/>
  <c r="E200" i="16"/>
  <c r="D200" i="16"/>
  <c r="B200" i="16" s="1"/>
  <c r="E199" i="16"/>
  <c r="D199" i="16"/>
  <c r="C199" i="16" s="1"/>
  <c r="E198" i="16"/>
  <c r="D198" i="16"/>
  <c r="B198" i="16" s="1"/>
  <c r="E197" i="16"/>
  <c r="D197" i="16"/>
  <c r="C197" i="16" s="1"/>
  <c r="E196" i="16"/>
  <c r="D196" i="16"/>
  <c r="B196" i="16" s="1"/>
  <c r="E195" i="16"/>
  <c r="D195" i="16"/>
  <c r="B195" i="16" s="1"/>
  <c r="E194" i="16"/>
  <c r="D194" i="16"/>
  <c r="C194" i="16" s="1"/>
  <c r="E193" i="16"/>
  <c r="D193" i="16"/>
  <c r="C193" i="16" s="1"/>
  <c r="E192" i="16"/>
  <c r="D192" i="16"/>
  <c r="E191" i="16"/>
  <c r="D191" i="16"/>
  <c r="C191" i="16" s="1"/>
  <c r="E190" i="16"/>
  <c r="D190" i="16"/>
  <c r="C190" i="16" s="1"/>
  <c r="E189" i="16"/>
  <c r="D189" i="16"/>
  <c r="C189" i="16" s="1"/>
  <c r="E188" i="16"/>
  <c r="D188" i="16"/>
  <c r="B188" i="16" s="1"/>
  <c r="E187" i="16"/>
  <c r="D187" i="16"/>
  <c r="B187" i="16" s="1"/>
  <c r="E186" i="16"/>
  <c r="D186" i="16"/>
  <c r="C186" i="16" s="1"/>
  <c r="E185" i="16"/>
  <c r="D185" i="16"/>
  <c r="E184" i="16"/>
  <c r="D184" i="16"/>
  <c r="B184" i="16" s="1"/>
  <c r="E183" i="16"/>
  <c r="D183" i="16"/>
  <c r="E182" i="16"/>
  <c r="D182" i="16"/>
  <c r="E181" i="16"/>
  <c r="D181" i="16"/>
  <c r="B181" i="16" s="1"/>
  <c r="E180" i="16"/>
  <c r="D180" i="16"/>
  <c r="B180" i="16" s="1"/>
  <c r="E179" i="16"/>
  <c r="D179" i="16"/>
  <c r="B179" i="16" s="1"/>
  <c r="E178" i="16"/>
  <c r="D178" i="16"/>
  <c r="C178" i="16" s="1"/>
  <c r="E177" i="16"/>
  <c r="D177" i="16"/>
  <c r="B177" i="16" s="1"/>
  <c r="E176" i="16"/>
  <c r="D176" i="16"/>
  <c r="B176" i="16" s="1"/>
  <c r="E175" i="16"/>
  <c r="D175" i="16"/>
  <c r="C175" i="16" s="1"/>
  <c r="E174" i="16"/>
  <c r="D174" i="16"/>
  <c r="C174" i="16" s="1"/>
  <c r="E173" i="16"/>
  <c r="D173" i="16"/>
  <c r="B173" i="16" s="1"/>
  <c r="E172" i="16"/>
  <c r="D172" i="16"/>
  <c r="B172" i="16" s="1"/>
  <c r="E171" i="16"/>
  <c r="D171" i="16"/>
  <c r="C171" i="16" s="1"/>
  <c r="E170" i="16"/>
  <c r="D170" i="16"/>
  <c r="B170" i="16" s="1"/>
  <c r="E169" i="16"/>
  <c r="D169" i="16"/>
  <c r="B169" i="16" s="1"/>
  <c r="E168" i="16"/>
  <c r="D168" i="16"/>
  <c r="B168" i="16" s="1"/>
  <c r="E167" i="16"/>
  <c r="D167" i="16"/>
  <c r="C167" i="16" s="1"/>
  <c r="E166" i="16"/>
  <c r="D166" i="16"/>
  <c r="B166" i="16" s="1"/>
  <c r="E165" i="16"/>
  <c r="D165" i="16"/>
  <c r="B165" i="16" s="1"/>
  <c r="E164" i="16"/>
  <c r="D164" i="16"/>
  <c r="E163" i="16"/>
  <c r="D163" i="16"/>
  <c r="C163" i="16" s="1"/>
  <c r="E162" i="16"/>
  <c r="D162" i="16"/>
  <c r="B162" i="16" s="1"/>
  <c r="E161" i="16"/>
  <c r="D161" i="16"/>
  <c r="C161" i="16" s="1"/>
  <c r="E160" i="16"/>
  <c r="D160" i="16"/>
  <c r="B160" i="16" s="1"/>
  <c r="E159" i="16"/>
  <c r="D159" i="16"/>
  <c r="B159" i="16" s="1"/>
  <c r="E158" i="16"/>
  <c r="D158" i="16"/>
  <c r="C158" i="16" s="1"/>
  <c r="E157" i="16"/>
  <c r="D157" i="16"/>
  <c r="C157" i="16" s="1"/>
  <c r="E156" i="16"/>
  <c r="D156" i="16"/>
  <c r="B156" i="16" s="1"/>
  <c r="C156" i="16"/>
  <c r="E155" i="16"/>
  <c r="D155" i="16"/>
  <c r="C155" i="16" s="1"/>
  <c r="E154" i="16"/>
  <c r="D154" i="16"/>
  <c r="C154" i="16" s="1"/>
  <c r="E153" i="16"/>
  <c r="D153" i="16"/>
  <c r="E152" i="16"/>
  <c r="D152" i="16"/>
  <c r="B152" i="16" s="1"/>
  <c r="E151" i="16"/>
  <c r="D151" i="16"/>
  <c r="C151" i="16" s="1"/>
  <c r="E150" i="16"/>
  <c r="D150" i="16"/>
  <c r="C150" i="16" s="1"/>
  <c r="E149" i="16"/>
  <c r="D149" i="16"/>
  <c r="C149" i="16" s="1"/>
  <c r="E148" i="16"/>
  <c r="D148" i="16"/>
  <c r="B148" i="16" s="1"/>
  <c r="E147" i="16"/>
  <c r="D147" i="16"/>
  <c r="B147" i="16" s="1"/>
  <c r="E146" i="16"/>
  <c r="D146" i="16"/>
  <c r="C146" i="16" s="1"/>
  <c r="E145" i="16"/>
  <c r="D145" i="16"/>
  <c r="B145" i="16" s="1"/>
  <c r="E144" i="16"/>
  <c r="D144" i="16"/>
  <c r="B144" i="16" s="1"/>
  <c r="C144" i="16"/>
  <c r="E143" i="16"/>
  <c r="D143" i="16"/>
  <c r="B143" i="16" s="1"/>
  <c r="C143" i="16"/>
  <c r="E142" i="16"/>
  <c r="D142" i="16"/>
  <c r="C142" i="16" s="1"/>
  <c r="B142" i="16"/>
  <c r="E141" i="16"/>
  <c r="D141" i="16"/>
  <c r="C141" i="16" s="1"/>
  <c r="E140" i="16"/>
  <c r="D140" i="16"/>
  <c r="B140" i="16" s="1"/>
  <c r="E139" i="16"/>
  <c r="D139" i="16"/>
  <c r="B139" i="16" s="1"/>
  <c r="E138" i="16"/>
  <c r="D138" i="16"/>
  <c r="C138" i="16" s="1"/>
  <c r="E137" i="16"/>
  <c r="D137" i="16"/>
  <c r="B137" i="16" s="1"/>
  <c r="E136" i="16"/>
  <c r="D136" i="16"/>
  <c r="C136" i="16" s="1"/>
  <c r="E135" i="16"/>
  <c r="D135" i="16"/>
  <c r="B135" i="16" s="1"/>
  <c r="C135" i="16"/>
  <c r="E134" i="16"/>
  <c r="D134" i="16"/>
  <c r="C134" i="16" s="1"/>
  <c r="E133" i="16"/>
  <c r="D133" i="16"/>
  <c r="C133" i="16" s="1"/>
  <c r="E132" i="16"/>
  <c r="D132" i="16"/>
  <c r="E131" i="16"/>
  <c r="D131" i="16"/>
  <c r="C131" i="16" s="1"/>
  <c r="E130" i="16"/>
  <c r="D130" i="16"/>
  <c r="E129" i="16"/>
  <c r="D129" i="16"/>
  <c r="C129" i="16" s="1"/>
  <c r="E128" i="16"/>
  <c r="D128" i="16"/>
  <c r="B128" i="16" s="1"/>
  <c r="E127" i="16"/>
  <c r="D127" i="16"/>
  <c r="C127" i="16" s="1"/>
  <c r="E126" i="16"/>
  <c r="D126" i="16"/>
  <c r="C126" i="16" s="1"/>
  <c r="E125" i="16"/>
  <c r="D125" i="16"/>
  <c r="C125" i="16" s="1"/>
  <c r="E124" i="16"/>
  <c r="D124" i="16"/>
  <c r="C124" i="16" s="1"/>
  <c r="E123" i="16"/>
  <c r="D123" i="16"/>
  <c r="B123" i="16" s="1"/>
  <c r="E122" i="16"/>
  <c r="D122" i="16"/>
  <c r="C122" i="16" s="1"/>
  <c r="E121" i="16"/>
  <c r="D121" i="16"/>
  <c r="B121" i="16" s="1"/>
  <c r="E120" i="16"/>
  <c r="D120" i="16"/>
  <c r="C120" i="16" s="1"/>
  <c r="E119" i="16"/>
  <c r="D119" i="16"/>
  <c r="B119" i="16" s="1"/>
  <c r="E118" i="16"/>
  <c r="D118" i="16"/>
  <c r="C118" i="16" s="1"/>
  <c r="E117" i="16"/>
  <c r="D117" i="16"/>
  <c r="C117" i="16" s="1"/>
  <c r="E116" i="16"/>
  <c r="D116" i="16"/>
  <c r="B116" i="16" s="1"/>
  <c r="F116" i="16" s="1"/>
  <c r="F115" i="16"/>
  <c r="E115" i="16"/>
  <c r="D115" i="16"/>
  <c r="F114" i="16"/>
  <c r="E114" i="16"/>
  <c r="D114" i="16"/>
  <c r="F113" i="16"/>
  <c r="E113" i="16"/>
  <c r="D113" i="16"/>
  <c r="F112" i="16"/>
  <c r="E112" i="16"/>
  <c r="D112" i="16"/>
  <c r="F111" i="16"/>
  <c r="E111" i="16"/>
  <c r="D111" i="16"/>
  <c r="F110" i="16"/>
  <c r="E110" i="16"/>
  <c r="D110" i="16"/>
  <c r="F109" i="16"/>
  <c r="E109" i="16"/>
  <c r="D109" i="16"/>
  <c r="F108" i="16"/>
  <c r="E108" i="16"/>
  <c r="D108" i="16"/>
  <c r="F107" i="16"/>
  <c r="E107" i="16"/>
  <c r="D107" i="16"/>
  <c r="E106" i="16"/>
  <c r="D106" i="16"/>
  <c r="E105" i="16"/>
  <c r="D105" i="16"/>
  <c r="C105" i="16" s="1"/>
  <c r="E104" i="16"/>
  <c r="D104" i="16"/>
  <c r="E103" i="16"/>
  <c r="D103" i="16"/>
  <c r="C103" i="16" s="1"/>
  <c r="E102" i="16"/>
  <c r="D102" i="16"/>
  <c r="E101" i="16"/>
  <c r="D101" i="16"/>
  <c r="C101" i="16" s="1"/>
  <c r="E100" i="16"/>
  <c r="D100" i="16"/>
  <c r="B100" i="16" s="1"/>
  <c r="C100" i="16"/>
  <c r="E99" i="16"/>
  <c r="D99" i="16"/>
  <c r="C99" i="16" s="1"/>
  <c r="E98" i="16"/>
  <c r="D98" i="16"/>
  <c r="B98" i="16" s="1"/>
  <c r="E97" i="16"/>
  <c r="D97" i="16"/>
  <c r="C97" i="16" s="1"/>
  <c r="E96" i="16"/>
  <c r="D96" i="16"/>
  <c r="E95" i="16"/>
  <c r="D95" i="16"/>
  <c r="B95" i="16" s="1"/>
  <c r="E94" i="16"/>
  <c r="D94" i="16"/>
  <c r="C94" i="16" s="1"/>
  <c r="B94" i="16"/>
  <c r="E93" i="16"/>
  <c r="D93" i="16"/>
  <c r="C93" i="16" s="1"/>
  <c r="E92" i="16"/>
  <c r="D92" i="16"/>
  <c r="B92" i="16" s="1"/>
  <c r="E91" i="16"/>
  <c r="D91" i="16"/>
  <c r="C91" i="16" s="1"/>
  <c r="E90" i="16"/>
  <c r="D90" i="16"/>
  <c r="C90" i="16" s="1"/>
  <c r="E89" i="16"/>
  <c r="D89" i="16"/>
  <c r="C89" i="16" s="1"/>
  <c r="E88" i="16"/>
  <c r="D88" i="16"/>
  <c r="B88" i="16" s="1"/>
  <c r="E87" i="16"/>
  <c r="D87" i="16"/>
  <c r="B87" i="16" s="1"/>
  <c r="E86" i="16"/>
  <c r="D86" i="16"/>
  <c r="E85" i="16"/>
  <c r="D85" i="16"/>
  <c r="C85" i="16" s="1"/>
  <c r="E84" i="16"/>
  <c r="D84" i="16"/>
  <c r="B84" i="16" s="1"/>
  <c r="E83" i="16"/>
  <c r="D83" i="16"/>
  <c r="B83" i="16" s="1"/>
  <c r="E82" i="16"/>
  <c r="D82" i="16"/>
  <c r="C82" i="16" s="1"/>
  <c r="E81" i="16"/>
  <c r="D81" i="16"/>
  <c r="C81" i="16" s="1"/>
  <c r="E80" i="16"/>
  <c r="D80" i="16"/>
  <c r="B80" i="16" s="1"/>
  <c r="E79" i="16"/>
  <c r="D79" i="16"/>
  <c r="B79" i="16" s="1"/>
  <c r="C79" i="16"/>
  <c r="E78" i="16"/>
  <c r="D78" i="16"/>
  <c r="C78" i="16" s="1"/>
  <c r="B78" i="16"/>
  <c r="E77" i="16"/>
  <c r="D77" i="16"/>
  <c r="C77" i="16" s="1"/>
  <c r="E76" i="16"/>
  <c r="D76" i="16"/>
  <c r="B76" i="16" s="1"/>
  <c r="E75" i="16"/>
  <c r="D75" i="16"/>
  <c r="C75" i="16" s="1"/>
  <c r="E74" i="16"/>
  <c r="D74" i="16"/>
  <c r="C74" i="16" s="1"/>
  <c r="E73" i="16"/>
  <c r="D73" i="16"/>
  <c r="C73" i="16" s="1"/>
  <c r="E72" i="16"/>
  <c r="D72" i="16"/>
  <c r="E71" i="16"/>
  <c r="D71" i="16"/>
  <c r="B71" i="16" s="1"/>
  <c r="E70" i="16"/>
  <c r="D70" i="16"/>
  <c r="B70" i="16" s="1"/>
  <c r="E69" i="16"/>
  <c r="D69" i="16"/>
  <c r="C69" i="16" s="1"/>
  <c r="E68" i="16"/>
  <c r="D68" i="16"/>
  <c r="E67" i="16"/>
  <c r="D67" i="16"/>
  <c r="E66" i="16"/>
  <c r="D66" i="16"/>
  <c r="C66" i="16" s="1"/>
  <c r="E65" i="16"/>
  <c r="D65" i="16"/>
  <c r="C65" i="16" s="1"/>
  <c r="E64" i="16"/>
  <c r="D64" i="16"/>
  <c r="B64" i="16" s="1"/>
  <c r="E63" i="16"/>
  <c r="D63" i="16"/>
  <c r="C63" i="16" s="1"/>
  <c r="B63" i="16"/>
  <c r="E62" i="16"/>
  <c r="D62" i="16"/>
  <c r="C62" i="16" s="1"/>
  <c r="E61" i="16"/>
  <c r="D61" i="16"/>
  <c r="C61" i="16" s="1"/>
  <c r="E60" i="16"/>
  <c r="D60" i="16"/>
  <c r="B60" i="16" s="1"/>
  <c r="E59" i="16"/>
  <c r="D59" i="16"/>
  <c r="C59" i="16" s="1"/>
  <c r="E58" i="16"/>
  <c r="D58" i="16"/>
  <c r="B58" i="16" s="1"/>
  <c r="C58" i="16"/>
  <c r="E57" i="16"/>
  <c r="D57" i="16"/>
  <c r="C57" i="16" s="1"/>
  <c r="E56" i="16"/>
  <c r="D56" i="16"/>
  <c r="E55" i="16"/>
  <c r="D55" i="16"/>
  <c r="B55" i="16" s="1"/>
  <c r="E54" i="16"/>
  <c r="D54" i="16"/>
  <c r="B54" i="16" s="1"/>
  <c r="E53" i="16"/>
  <c r="D53" i="16"/>
  <c r="C53" i="16" s="1"/>
  <c r="E52" i="16"/>
  <c r="D52" i="16"/>
  <c r="B52" i="16" s="1"/>
  <c r="E51" i="16"/>
  <c r="D51" i="16"/>
  <c r="C51" i="16" s="1"/>
  <c r="E50" i="16"/>
  <c r="D50" i="16"/>
  <c r="C50" i="16" s="1"/>
  <c r="B50" i="16"/>
  <c r="E49" i="16"/>
  <c r="D49" i="16"/>
  <c r="C49" i="16" s="1"/>
  <c r="E48" i="16"/>
  <c r="D48" i="16"/>
  <c r="E47" i="16"/>
  <c r="D47" i="16"/>
  <c r="B47" i="16" s="1"/>
  <c r="E46" i="16"/>
  <c r="D46" i="16"/>
  <c r="B46" i="16" s="1"/>
  <c r="E45" i="16"/>
  <c r="D45" i="16"/>
  <c r="C45" i="16" s="1"/>
  <c r="E44" i="16"/>
  <c r="D44" i="16"/>
  <c r="B44" i="16" s="1"/>
  <c r="E43" i="16"/>
  <c r="D43" i="16"/>
  <c r="B43" i="16" s="1"/>
  <c r="E42" i="16"/>
  <c r="D42" i="16"/>
  <c r="C42" i="16" s="1"/>
  <c r="E41" i="16"/>
  <c r="D41" i="16"/>
  <c r="C41" i="16" s="1"/>
  <c r="E40" i="16"/>
  <c r="D40" i="16"/>
  <c r="E39" i="16"/>
  <c r="D39" i="16"/>
  <c r="C39" i="16" s="1"/>
  <c r="E38" i="16"/>
  <c r="D38" i="16"/>
  <c r="B38" i="16" s="1"/>
  <c r="E37" i="16"/>
  <c r="D37" i="16"/>
  <c r="C37" i="16" s="1"/>
  <c r="E36" i="16"/>
  <c r="D36" i="16"/>
  <c r="B36" i="16" s="1"/>
  <c r="E35" i="16"/>
  <c r="D35" i="16"/>
  <c r="C35" i="16" s="1"/>
  <c r="E34" i="16"/>
  <c r="D34" i="16"/>
  <c r="B34" i="16" s="1"/>
  <c r="E33" i="16"/>
  <c r="D33" i="16"/>
  <c r="C33" i="16" s="1"/>
  <c r="E32" i="16"/>
  <c r="D32" i="16"/>
  <c r="E31" i="16"/>
  <c r="D31" i="16"/>
  <c r="C31" i="16" s="1"/>
  <c r="E30" i="16"/>
  <c r="D30" i="16"/>
  <c r="C30" i="16" s="1"/>
  <c r="E29" i="16"/>
  <c r="D29" i="16"/>
  <c r="C29" i="16" s="1"/>
  <c r="E28" i="16"/>
  <c r="D28" i="16"/>
  <c r="B28" i="16" s="1"/>
  <c r="E27" i="16"/>
  <c r="D27" i="16"/>
  <c r="C27" i="16" s="1"/>
  <c r="E26" i="16"/>
  <c r="D26" i="16"/>
  <c r="C26" i="16" s="1"/>
  <c r="E25" i="16"/>
  <c r="D25" i="16"/>
  <c r="C25" i="16" s="1"/>
  <c r="E24" i="16"/>
  <c r="D24" i="16"/>
  <c r="B24" i="16" s="1"/>
  <c r="E23" i="16"/>
  <c r="D23" i="16"/>
  <c r="B23" i="16" s="1"/>
  <c r="E22" i="16"/>
  <c r="D22" i="16"/>
  <c r="B22" i="16" s="1"/>
  <c r="E21" i="16"/>
  <c r="D21" i="16"/>
  <c r="C21" i="16" s="1"/>
  <c r="E20" i="16"/>
  <c r="D20" i="16"/>
  <c r="B20" i="16" s="1"/>
  <c r="C20" i="16"/>
  <c r="E19" i="16"/>
  <c r="D19" i="16"/>
  <c r="B19" i="16" s="1"/>
  <c r="E18" i="16"/>
  <c r="D18" i="16"/>
  <c r="C18" i="16" s="1"/>
  <c r="E17" i="16"/>
  <c r="D17" i="16"/>
  <c r="C17" i="16" s="1"/>
  <c r="E16" i="16"/>
  <c r="D16" i="16"/>
  <c r="B16" i="16" s="1"/>
  <c r="E15" i="16"/>
  <c r="D15" i="16"/>
  <c r="B15" i="16" s="1"/>
  <c r="E14" i="16"/>
  <c r="D14" i="16"/>
  <c r="C14" i="16" s="1"/>
  <c r="E13" i="16"/>
  <c r="D13" i="16"/>
  <c r="C13" i="16" s="1"/>
  <c r="E12" i="16"/>
  <c r="D12" i="16"/>
  <c r="C12" i="16" s="1"/>
  <c r="E11" i="16"/>
  <c r="D11" i="16"/>
  <c r="B11" i="16" s="1"/>
  <c r="E10" i="16"/>
  <c r="D10" i="16"/>
  <c r="C10" i="16" s="1"/>
  <c r="E9" i="16"/>
  <c r="D9" i="16"/>
  <c r="C9" i="16" s="1"/>
  <c r="E8" i="16"/>
  <c r="D8" i="16"/>
  <c r="B8" i="16" s="1"/>
  <c r="E7" i="16"/>
  <c r="D7" i="16"/>
  <c r="C7" i="16" s="1"/>
  <c r="E6" i="16"/>
  <c r="D6" i="16"/>
  <c r="B6" i="16" s="1"/>
  <c r="E5" i="16"/>
  <c r="D5" i="16"/>
  <c r="B5" i="16" s="1"/>
  <c r="C5" i="16" s="1"/>
  <c r="C19" i="16" l="1"/>
  <c r="C184" i="16"/>
  <c r="B482" i="16"/>
  <c r="C750" i="16"/>
  <c r="B1106" i="16"/>
  <c r="F1107" i="16" s="1"/>
  <c r="C1267" i="16"/>
  <c r="B1410" i="16"/>
  <c r="B1503" i="16"/>
  <c r="C76" i="16"/>
  <c r="C368" i="16"/>
  <c r="C2339" i="16"/>
  <c r="C2827" i="16"/>
  <c r="C1235" i="16"/>
  <c r="C1705" i="16"/>
  <c r="C324" i="16"/>
  <c r="B2308" i="16"/>
  <c r="C11" i="16"/>
  <c r="B1075" i="16"/>
  <c r="B2456" i="16"/>
  <c r="B2608" i="16"/>
  <c r="B2935" i="16"/>
  <c r="C46" i="16"/>
  <c r="C233" i="16"/>
  <c r="C776" i="16"/>
  <c r="C972" i="16"/>
  <c r="C1425" i="16"/>
  <c r="C2194" i="16"/>
  <c r="B90" i="16"/>
  <c r="C188" i="16"/>
  <c r="C498" i="16"/>
  <c r="B576" i="16"/>
  <c r="C788" i="16"/>
  <c r="F904" i="16"/>
  <c r="F1307" i="16"/>
  <c r="C2621" i="16"/>
  <c r="B2878" i="16"/>
  <c r="C984" i="16"/>
  <c r="F1567" i="16"/>
  <c r="C1661" i="16"/>
  <c r="B2032" i="16"/>
  <c r="F2032" i="16" s="1"/>
  <c r="C2469" i="16"/>
  <c r="B2551" i="16"/>
  <c r="F2551" i="16" s="1"/>
  <c r="C166" i="16"/>
  <c r="C476" i="16"/>
  <c r="B555" i="16"/>
  <c r="C566" i="16"/>
  <c r="B2172" i="16"/>
  <c r="B2333" i="16"/>
  <c r="B2343" i="16"/>
  <c r="B1134" i="16"/>
  <c r="C1450" i="16"/>
  <c r="C1744" i="16"/>
  <c r="B1871" i="16"/>
  <c r="B1975" i="16"/>
  <c r="B522" i="16"/>
  <c r="B767" i="16"/>
  <c r="F767" i="16" s="1"/>
  <c r="C2092" i="16"/>
  <c r="C15" i="16"/>
  <c r="C60" i="16"/>
  <c r="C71" i="16"/>
  <c r="C225" i="16"/>
  <c r="C363" i="16"/>
  <c r="B1091" i="16"/>
  <c r="F1091" i="16" s="1"/>
  <c r="B1252" i="16"/>
  <c r="F1252" i="16" s="1"/>
  <c r="B1849" i="16"/>
  <c r="B2023" i="16"/>
  <c r="B2368" i="16"/>
  <c r="C2951" i="16"/>
  <c r="C803" i="16"/>
  <c r="C1023" i="16"/>
  <c r="C1629" i="16"/>
  <c r="C1710" i="16"/>
  <c r="C1884" i="16"/>
  <c r="C2163" i="16"/>
  <c r="C2257" i="16"/>
  <c r="C1126" i="16"/>
  <c r="C1195" i="16"/>
  <c r="B1253" i="16"/>
  <c r="F1253" i="16" s="1"/>
  <c r="B1943" i="16"/>
  <c r="F1943" i="16" s="1"/>
  <c r="B2346" i="16"/>
  <c r="B2427" i="16"/>
  <c r="B559" i="16"/>
  <c r="B863" i="16"/>
  <c r="F864" i="16" s="1"/>
  <c r="C874" i="16"/>
  <c r="C1840" i="16"/>
  <c r="C1921" i="16"/>
  <c r="C2270" i="16"/>
  <c r="B2304" i="16"/>
  <c r="B2883" i="16"/>
  <c r="B126" i="16"/>
  <c r="C2282" i="16"/>
  <c r="B2338" i="16"/>
  <c r="B2698" i="16"/>
  <c r="B1128" i="16"/>
  <c r="C1421" i="16"/>
  <c r="F1922" i="16"/>
  <c r="B2651" i="16"/>
  <c r="B2710" i="16"/>
  <c r="B940" i="16"/>
  <c r="C119" i="16"/>
  <c r="C238" i="16"/>
  <c r="C304" i="16"/>
  <c r="C908" i="16"/>
  <c r="C951" i="16"/>
  <c r="B1272" i="16"/>
  <c r="C1342" i="16"/>
  <c r="B1365" i="16"/>
  <c r="F1365" i="16" s="1"/>
  <c r="B1665" i="16"/>
  <c r="F1665" i="16" s="1"/>
  <c r="B2105" i="16"/>
  <c r="B2116" i="16"/>
  <c r="B2656" i="16"/>
  <c r="C2679" i="16"/>
  <c r="B2768" i="16"/>
  <c r="F2769" i="16" s="1"/>
  <c r="B2814" i="16"/>
  <c r="C70" i="16"/>
  <c r="C195" i="16"/>
  <c r="C217" i="16"/>
  <c r="B295" i="16"/>
  <c r="F296" i="16" s="1"/>
  <c r="C326" i="16"/>
  <c r="F525" i="16"/>
  <c r="B1010" i="16"/>
  <c r="B1129" i="16"/>
  <c r="B1308" i="16"/>
  <c r="F1308" i="16" s="1"/>
  <c r="C1700" i="16"/>
  <c r="B1903" i="16"/>
  <c r="C2127" i="16"/>
  <c r="C2150" i="16"/>
  <c r="B2612" i="16"/>
  <c r="F196" i="16"/>
  <c r="B262" i="16"/>
  <c r="B305" i="16"/>
  <c r="F306" i="16" s="1"/>
  <c r="B338" i="16"/>
  <c r="F437" i="16"/>
  <c r="B536" i="16"/>
  <c r="C650" i="16"/>
  <c r="F706" i="16"/>
  <c r="B1881" i="16"/>
  <c r="B2050" i="16"/>
  <c r="B2657" i="16"/>
  <c r="C2859" i="16"/>
  <c r="C696" i="16"/>
  <c r="B787" i="16"/>
  <c r="B899" i="16"/>
  <c r="C1175" i="16"/>
  <c r="C1220" i="16"/>
  <c r="C1436" i="16"/>
  <c r="B2266" i="16"/>
  <c r="C2397" i="16"/>
  <c r="C2871" i="16"/>
  <c r="B230" i="16"/>
  <c r="C252" i="16"/>
  <c r="C306" i="16"/>
  <c r="C427" i="16"/>
  <c r="C833" i="16"/>
  <c r="C844" i="16"/>
  <c r="B1232" i="16"/>
  <c r="C1518" i="16"/>
  <c r="C1645" i="16"/>
  <c r="B1816" i="16"/>
  <c r="B2500" i="16"/>
  <c r="B2704" i="16"/>
  <c r="F2704" i="16" s="1"/>
  <c r="B10" i="16"/>
  <c r="F11" i="16" s="1"/>
  <c r="B30" i="16"/>
  <c r="F733" i="16"/>
  <c r="B933" i="16"/>
  <c r="B1079" i="16"/>
  <c r="C52" i="16"/>
  <c r="C123" i="16"/>
  <c r="C198" i="16"/>
  <c r="C242" i="16"/>
  <c r="C944" i="16"/>
  <c r="C955" i="16"/>
  <c r="C1058" i="16"/>
  <c r="C1167" i="16"/>
  <c r="C1862" i="16"/>
  <c r="C2131" i="16"/>
  <c r="B2301" i="16"/>
  <c r="B2501" i="16"/>
  <c r="C2683" i="16"/>
  <c r="C2839" i="16"/>
  <c r="F1357" i="16"/>
  <c r="C2931" i="16"/>
  <c r="B178" i="16"/>
  <c r="B1394" i="16"/>
  <c r="B2010" i="16"/>
  <c r="F2010" i="16" s="1"/>
  <c r="B2808" i="16"/>
  <c r="B2819" i="16"/>
  <c r="C84" i="16"/>
  <c r="F408" i="16"/>
  <c r="C956" i="16"/>
  <c r="B1168" i="16"/>
  <c r="B1406" i="16"/>
  <c r="F1717" i="16"/>
  <c r="B2088" i="16"/>
  <c r="C152" i="16"/>
  <c r="C54" i="16"/>
  <c r="B136" i="16"/>
  <c r="F137" i="16" s="1"/>
  <c r="C655" i="16"/>
  <c r="C1026" i="16"/>
  <c r="C1114" i="16"/>
  <c r="F1213" i="16"/>
  <c r="C1268" i="16"/>
  <c r="C1717" i="16"/>
  <c r="C1773" i="16"/>
  <c r="B1853" i="16"/>
  <c r="F2249" i="16"/>
  <c r="B2292" i="16"/>
  <c r="C2629" i="16"/>
  <c r="C2640" i="16"/>
  <c r="B2697" i="16"/>
  <c r="F2698" i="16" s="1"/>
  <c r="B422" i="16"/>
  <c r="F423" i="16" s="1"/>
  <c r="C2067" i="16"/>
  <c r="B2831" i="16"/>
  <c r="C116" i="16"/>
  <c r="C137" i="16"/>
  <c r="B455" i="16"/>
  <c r="B465" i="16"/>
  <c r="F465" i="16" s="1"/>
  <c r="C1226" i="16"/>
  <c r="B1304" i="16"/>
  <c r="C1362" i="16"/>
  <c r="C1559" i="16"/>
  <c r="C1592" i="16"/>
  <c r="B1910" i="16"/>
  <c r="F1910" i="16" s="1"/>
  <c r="B1978" i="16"/>
  <c r="C2113" i="16"/>
  <c r="C2923" i="16"/>
  <c r="C378" i="16"/>
  <c r="C1127" i="16"/>
  <c r="B1237" i="16"/>
  <c r="B1673" i="16"/>
  <c r="B2227" i="16"/>
  <c r="C2293" i="16"/>
  <c r="B2347" i="16"/>
  <c r="B2505" i="16"/>
  <c r="F2506" i="16" s="1"/>
  <c r="C2855" i="16"/>
  <c r="C1171" i="16"/>
  <c r="B1270" i="16"/>
  <c r="C1922" i="16"/>
  <c r="B2576" i="16"/>
  <c r="C2721" i="16"/>
  <c r="B2732" i="16"/>
  <c r="C2947" i="16"/>
  <c r="C2970" i="16"/>
  <c r="C281" i="16"/>
  <c r="B2416" i="16"/>
  <c r="C36" i="16"/>
  <c r="C139" i="16"/>
  <c r="C346" i="16"/>
  <c r="C545" i="16"/>
  <c r="C704" i="16"/>
  <c r="C818" i="16"/>
  <c r="B851" i="16"/>
  <c r="F852" i="16" s="1"/>
  <c r="F984" i="16"/>
  <c r="B1085" i="16"/>
  <c r="C1139" i="16"/>
  <c r="C1162" i="16"/>
  <c r="C1206" i="16"/>
  <c r="C1583" i="16"/>
  <c r="B1958" i="16"/>
  <c r="B2171" i="16"/>
  <c r="F2172" i="16" s="1"/>
  <c r="B2802" i="16"/>
  <c r="C23" i="16"/>
  <c r="C43" i="16"/>
  <c r="B82" i="16"/>
  <c r="F83" i="16" s="1"/>
  <c r="C92" i="16"/>
  <c r="C665" i="16"/>
  <c r="C687" i="16"/>
  <c r="C730" i="16"/>
  <c r="C903" i="16"/>
  <c r="B923" i="16"/>
  <c r="F924" i="16" s="1"/>
  <c r="C1082" i="16"/>
  <c r="B1198" i="16"/>
  <c r="F1199" i="16" s="1"/>
  <c r="C1251" i="16"/>
  <c r="B1386" i="16"/>
  <c r="C1576" i="16"/>
  <c r="C1609" i="16"/>
  <c r="B1685" i="16"/>
  <c r="F1685" i="16" s="1"/>
  <c r="C1869" i="16"/>
  <c r="B2084" i="16"/>
  <c r="C2114" i="16"/>
  <c r="C2189" i="16"/>
  <c r="C2316" i="16"/>
  <c r="B2388" i="16"/>
  <c r="F2388" i="16" s="1"/>
  <c r="C2703" i="16"/>
  <c r="C2745" i="16"/>
  <c r="C2755" i="16"/>
  <c r="C1911" i="16"/>
  <c r="C246" i="16"/>
  <c r="C268" i="16"/>
  <c r="B481" i="16"/>
  <c r="F482" i="16" s="1"/>
  <c r="C893" i="16"/>
  <c r="C943" i="16"/>
  <c r="B974" i="16"/>
  <c r="B1144" i="16"/>
  <c r="F1144" i="16" s="1"/>
  <c r="C1408" i="16"/>
  <c r="B1848" i="16"/>
  <c r="C1880" i="16"/>
  <c r="B2135" i="16"/>
  <c r="F2135" i="16" s="1"/>
  <c r="C2168" i="16"/>
  <c r="C2221" i="16"/>
  <c r="B2296" i="16"/>
  <c r="B2954" i="16"/>
  <c r="F2955" i="16" s="1"/>
  <c r="C2136" i="16"/>
  <c r="B397" i="16"/>
  <c r="B494" i="16"/>
  <c r="F495" i="16" s="1"/>
  <c r="C525" i="16"/>
  <c r="C611" i="16"/>
  <c r="B830" i="16"/>
  <c r="C999" i="16"/>
  <c r="F1064" i="16"/>
  <c r="C1115" i="16"/>
  <c r="B1765" i="16"/>
  <c r="B1807" i="16"/>
  <c r="C2076" i="16"/>
  <c r="B2201" i="16"/>
  <c r="F2202" i="16" s="1"/>
  <c r="C2390" i="16"/>
  <c r="C2663" i="16"/>
  <c r="C2747" i="16"/>
  <c r="B2946" i="16"/>
  <c r="C1590" i="16"/>
  <c r="C1657" i="16"/>
  <c r="B2087" i="16"/>
  <c r="F2087" i="16" s="1"/>
  <c r="B2329" i="16"/>
  <c r="F2329" i="16" s="1"/>
  <c r="C2401" i="16"/>
  <c r="B2631" i="16"/>
  <c r="F2631" i="16" s="1"/>
  <c r="B2685" i="16"/>
  <c r="F2686" i="16" s="1"/>
  <c r="F2758" i="16"/>
  <c r="B27" i="16"/>
  <c r="F28" i="16" s="1"/>
  <c r="C95" i="16"/>
  <c r="C366" i="16"/>
  <c r="C495" i="16"/>
  <c r="C526" i="16"/>
  <c r="C548" i="16"/>
  <c r="B691" i="16"/>
  <c r="F853" i="16"/>
  <c r="B946" i="16"/>
  <c r="F956" i="16"/>
  <c r="B1011" i="16"/>
  <c r="F1011" i="16" s="1"/>
  <c r="C1356" i="16"/>
  <c r="B1455" i="16"/>
  <c r="B1776" i="16"/>
  <c r="B1788" i="16"/>
  <c r="B1959" i="16"/>
  <c r="C2360" i="16"/>
  <c r="F2391" i="16"/>
  <c r="B2676" i="16"/>
  <c r="F2677" i="16" s="1"/>
  <c r="B2748" i="16"/>
  <c r="F2749" i="16" s="1"/>
  <c r="B18" i="16"/>
  <c r="F19" i="16" s="1"/>
  <c r="C47" i="16"/>
  <c r="C187" i="16"/>
  <c r="B250" i="16"/>
  <c r="F250" i="16" s="1"/>
  <c r="F409" i="16"/>
  <c r="B421" i="16"/>
  <c r="B590" i="16"/>
  <c r="C865" i="16"/>
  <c r="B907" i="16"/>
  <c r="C1043" i="16"/>
  <c r="F1212" i="16"/>
  <c r="F1422" i="16"/>
  <c r="C1502" i="16"/>
  <c r="B1799" i="16"/>
  <c r="C1905" i="16"/>
  <c r="B2193" i="16"/>
  <c r="F2194" i="16" s="1"/>
  <c r="C2214" i="16"/>
  <c r="B2300" i="16"/>
  <c r="F2436" i="16"/>
  <c r="C2524" i="16"/>
  <c r="B2568" i="16"/>
  <c r="C2717" i="16"/>
  <c r="C2915" i="16"/>
  <c r="C2958" i="16"/>
  <c r="B968" i="16"/>
  <c r="B990" i="16"/>
  <c r="F990" i="16" s="1"/>
  <c r="B1032" i="16"/>
  <c r="F1032" i="16" s="1"/>
  <c r="C1203" i="16"/>
  <c r="B1402" i="16"/>
  <c r="F1403" i="16" s="1"/>
  <c r="B1756" i="16"/>
  <c r="B1831" i="16"/>
  <c r="B1895" i="16"/>
  <c r="F1896" i="16" s="1"/>
  <c r="B2109" i="16"/>
  <c r="C2151" i="16"/>
  <c r="C2248" i="16"/>
  <c r="C2290" i="16"/>
  <c r="C2340" i="16"/>
  <c r="B2502" i="16"/>
  <c r="F2502" i="16" s="1"/>
  <c r="B2513" i="16"/>
  <c r="F2514" i="16" s="1"/>
  <c r="B2546" i="16"/>
  <c r="F2547" i="16" s="1"/>
  <c r="C781" i="16"/>
  <c r="B802" i="16"/>
  <c r="B919" i="16"/>
  <c r="C1906" i="16"/>
  <c r="B2016" i="16"/>
  <c r="F2017" i="16" s="1"/>
  <c r="B2152" i="16"/>
  <c r="F2152" i="16" s="1"/>
  <c r="B2537" i="16"/>
  <c r="F2538" i="16" s="1"/>
  <c r="B2939" i="16"/>
  <c r="C1028" i="16"/>
  <c r="F2317" i="16"/>
  <c r="F693" i="16"/>
  <c r="C867" i="16"/>
  <c r="C1099" i="16"/>
  <c r="C1236" i="16"/>
  <c r="C1393" i="16"/>
  <c r="C1593" i="16"/>
  <c r="B1801" i="16"/>
  <c r="B1907" i="16"/>
  <c r="C2006" i="16"/>
  <c r="B2205" i="16"/>
  <c r="B2426" i="16"/>
  <c r="C2699" i="16"/>
  <c r="B2719" i="16"/>
  <c r="C581" i="16"/>
  <c r="F2060" i="16"/>
  <c r="B551" i="16"/>
  <c r="F552" i="16" s="1"/>
  <c r="C444" i="16"/>
  <c r="B529" i="16"/>
  <c r="F1163" i="16"/>
  <c r="C80" i="16"/>
  <c r="B118" i="16"/>
  <c r="F119" i="16" s="1"/>
  <c r="C128" i="16"/>
  <c r="C276" i="16"/>
  <c r="C287" i="16"/>
  <c r="C662" i="16"/>
  <c r="B694" i="16"/>
  <c r="F694" i="16" s="1"/>
  <c r="F750" i="16"/>
  <c r="F761" i="16"/>
  <c r="B847" i="16"/>
  <c r="C1090" i="16"/>
  <c r="C1131" i="16"/>
  <c r="C1716" i="16"/>
  <c r="C2029" i="16"/>
  <c r="C2082" i="16"/>
  <c r="B2396" i="16"/>
  <c r="B2561" i="16"/>
  <c r="B2830" i="16"/>
  <c r="F2831" i="16" s="1"/>
  <c r="B2962" i="16"/>
  <c r="B31" i="16"/>
  <c r="F31" i="16" s="1"/>
  <c r="C148" i="16"/>
  <c r="C181" i="16"/>
  <c r="C223" i="16"/>
  <c r="B794" i="16"/>
  <c r="F795" i="16" s="1"/>
  <c r="F1595" i="16"/>
  <c r="B1803" i="16"/>
  <c r="B2051" i="16"/>
  <c r="B2252" i="16"/>
  <c r="F64" i="16"/>
  <c r="F625" i="16"/>
  <c r="C22" i="16"/>
  <c r="B91" i="16"/>
  <c r="F91" i="16" s="1"/>
  <c r="B191" i="16"/>
  <c r="C328" i="16"/>
  <c r="C827" i="16"/>
  <c r="C1207" i="16"/>
  <c r="B1238" i="16"/>
  <c r="B1554" i="16"/>
  <c r="F1554" i="16" s="1"/>
  <c r="B1653" i="16"/>
  <c r="C2041" i="16"/>
  <c r="C2262" i="16"/>
  <c r="B2335" i="16"/>
  <c r="C2344" i="16"/>
  <c r="B2387" i="16"/>
  <c r="B2440" i="16"/>
  <c r="F2441" i="16" s="1"/>
  <c r="B2451" i="16"/>
  <c r="B2637" i="16"/>
  <c r="F2638" i="16" s="1"/>
  <c r="F1387" i="16"/>
  <c r="C2190" i="16"/>
  <c r="B62" i="16"/>
  <c r="F63" i="16" s="1"/>
  <c r="B718" i="16"/>
  <c r="C224" i="16"/>
  <c r="B308" i="16"/>
  <c r="C404" i="16"/>
  <c r="B500" i="16"/>
  <c r="C563" i="16"/>
  <c r="C785" i="16"/>
  <c r="C795" i="16"/>
  <c r="B963" i="16"/>
  <c r="B1027" i="16"/>
  <c r="F1027" i="16" s="1"/>
  <c r="C1166" i="16"/>
  <c r="C1219" i="16"/>
  <c r="C1340" i="16"/>
  <c r="B1427" i="16"/>
  <c r="B1999" i="16"/>
  <c r="C2063" i="16"/>
  <c r="B2093" i="16"/>
  <c r="C2104" i="16"/>
  <c r="B2198" i="16"/>
  <c r="C2231" i="16"/>
  <c r="B2682" i="16"/>
  <c r="F2682" i="16" s="1"/>
  <c r="C2713" i="16"/>
  <c r="B2854" i="16"/>
  <c r="F2855" i="16" s="1"/>
  <c r="C562" i="16"/>
  <c r="B461" i="16"/>
  <c r="F461" i="16" s="1"/>
  <c r="B1618" i="16"/>
  <c r="C1618" i="16"/>
  <c r="C1942" i="16"/>
  <c r="B1942" i="16"/>
  <c r="F1942" i="16" s="1"/>
  <c r="C2376" i="16"/>
  <c r="B2376" i="16"/>
  <c r="B163" i="16"/>
  <c r="F163" i="16" s="1"/>
  <c r="B439" i="16"/>
  <c r="C439" i="16"/>
  <c r="C2366" i="16"/>
  <c r="B2039" i="16"/>
  <c r="C2039" i="16"/>
  <c r="B214" i="16"/>
  <c r="F214" i="16" s="1"/>
  <c r="C214" i="16"/>
  <c r="F1642" i="16"/>
  <c r="B1608" i="16"/>
  <c r="C1608" i="16"/>
  <c r="B502" i="16"/>
  <c r="F503" i="16" s="1"/>
  <c r="C502" i="16"/>
  <c r="B1029" i="16"/>
  <c r="B86" i="16"/>
  <c r="F87" i="16" s="1"/>
  <c r="C86" i="16"/>
  <c r="B124" i="16"/>
  <c r="F124" i="16" s="1"/>
  <c r="B1511" i="16"/>
  <c r="C1870" i="16"/>
  <c r="C2255" i="16"/>
  <c r="B2255" i="16"/>
  <c r="B1839" i="16"/>
  <c r="F1839" i="16" s="1"/>
  <c r="C886" i="16"/>
  <c r="C1787" i="16"/>
  <c r="B1787" i="16"/>
  <c r="B2213" i="16"/>
  <c r="F2214" i="16" s="1"/>
  <c r="C2213" i="16"/>
  <c r="B813" i="16"/>
  <c r="C813" i="16"/>
  <c r="B1335" i="16"/>
  <c r="C1335" i="16"/>
  <c r="C1246" i="16"/>
  <c r="B1246" i="16"/>
  <c r="F1247" i="16" s="1"/>
  <c r="C2966" i="16"/>
  <c r="B2966" i="16"/>
  <c r="F1347" i="16"/>
  <c r="C1745" i="16"/>
  <c r="B1745" i="16"/>
  <c r="F1745" i="16" s="1"/>
  <c r="C67" i="16"/>
  <c r="B67" i="16"/>
  <c r="C926" i="16"/>
  <c r="B926" i="16"/>
  <c r="B48" i="16"/>
  <c r="F48" i="16" s="1"/>
  <c r="C48" i="16"/>
  <c r="C2130" i="16"/>
  <c r="B2130" i="16"/>
  <c r="F2131" i="16" s="1"/>
  <c r="C2771" i="16"/>
  <c r="B2771" i="16"/>
  <c r="C1152" i="16"/>
  <c r="B1152" i="16"/>
  <c r="F1152" i="16" s="1"/>
  <c r="B1737" i="16"/>
  <c r="B315" i="16"/>
  <c r="F315" i="16" s="1"/>
  <c r="C244" i="16"/>
  <c r="C1682" i="16"/>
  <c r="C1714" i="16"/>
  <c r="C2750" i="16"/>
  <c r="B2750" i="16"/>
  <c r="F2750" i="16" s="1"/>
  <c r="C2826" i="16"/>
  <c r="C296" i="16"/>
  <c r="C2091" i="16"/>
  <c r="B1020" i="16"/>
  <c r="F2092" i="16"/>
  <c r="F2827" i="16"/>
  <c r="C504" i="16"/>
  <c r="B630" i="16"/>
  <c r="F630" i="16" s="1"/>
  <c r="F1053" i="16"/>
  <c r="C2021" i="16"/>
  <c r="C1371" i="16"/>
  <c r="B1872" i="16"/>
  <c r="F2714" i="16"/>
  <c r="C2882" i="16"/>
  <c r="F1260" i="16"/>
  <c r="B1936" i="16"/>
  <c r="B2052" i="16"/>
  <c r="F2369" i="16"/>
  <c r="F2579" i="16"/>
  <c r="C2043" i="16"/>
  <c r="C2053" i="16"/>
  <c r="F24" i="16"/>
  <c r="F209" i="16"/>
  <c r="B219" i="16"/>
  <c r="F220" i="16" s="1"/>
  <c r="B300" i="16"/>
  <c r="F301" i="16" s="1"/>
  <c r="F797" i="16"/>
  <c r="F1340" i="16"/>
  <c r="B1613" i="16"/>
  <c r="F1614" i="16" s="1"/>
  <c r="F1697" i="16"/>
  <c r="B1938" i="16"/>
  <c r="C2280" i="16"/>
  <c r="F2766" i="16"/>
  <c r="C2862" i="16"/>
  <c r="C2994" i="16"/>
  <c r="F6" i="16"/>
  <c r="C34" i="16"/>
  <c r="C179" i="16"/>
  <c r="B319" i="16"/>
  <c r="F319" i="16" s="1"/>
  <c r="B414" i="16"/>
  <c r="C423" i="16"/>
  <c r="C549" i="16"/>
  <c r="C589" i="16"/>
  <c r="B710" i="16"/>
  <c r="F710" i="16" s="1"/>
  <c r="C861" i="16"/>
  <c r="B961" i="16"/>
  <c r="B971" i="16"/>
  <c r="F972" i="16" s="1"/>
  <c r="B1086" i="16"/>
  <c r="F1086" i="16" s="1"/>
  <c r="B1137" i="16"/>
  <c r="B1209" i="16"/>
  <c r="C1352" i="16"/>
  <c r="B1395" i="16"/>
  <c r="F1395" i="16" s="1"/>
  <c r="B1438" i="16"/>
  <c r="F1438" i="16" s="1"/>
  <c r="B1539" i="16"/>
  <c r="F1539" i="16" s="1"/>
  <c r="C1677" i="16"/>
  <c r="B1741" i="16"/>
  <c r="B1772" i="16"/>
  <c r="F1772" i="16" s="1"/>
  <c r="B1864" i="16"/>
  <c r="C1926" i="16"/>
  <c r="C1969" i="16"/>
  <c r="C2075" i="16"/>
  <c r="B2177" i="16"/>
  <c r="C2240" i="16"/>
  <c r="C2312" i="16"/>
  <c r="C2473" i="16"/>
  <c r="C2686" i="16"/>
  <c r="C2863" i="16"/>
  <c r="C2919" i="16"/>
  <c r="C2061" i="16"/>
  <c r="F225" i="16"/>
  <c r="F1705" i="16"/>
  <c r="F145" i="16"/>
  <c r="C575" i="16"/>
  <c r="B654" i="16"/>
  <c r="F654" i="16" s="1"/>
  <c r="F889" i="16"/>
  <c r="F2042" i="16"/>
  <c r="C2398" i="16"/>
  <c r="C2216" i="16"/>
  <c r="F890" i="16"/>
  <c r="F1437" i="16"/>
  <c r="F16" i="16"/>
  <c r="B456" i="16"/>
  <c r="C942" i="16"/>
  <c r="C2066" i="16"/>
  <c r="B2444" i="16"/>
  <c r="F2444" i="16" s="1"/>
  <c r="B2687" i="16"/>
  <c r="F2687" i="16" s="1"/>
  <c r="B2727" i="16"/>
  <c r="F563" i="16"/>
  <c r="B618" i="16"/>
  <c r="F1808" i="16"/>
  <c r="B1599" i="16"/>
  <c r="C1892" i="16"/>
  <c r="F697" i="16"/>
  <c r="C2492" i="16"/>
  <c r="F1514" i="16"/>
  <c r="F2461" i="16"/>
  <c r="B496" i="16"/>
  <c r="F496" i="16" s="1"/>
  <c r="C1706" i="16"/>
  <c r="B698" i="16"/>
  <c r="F698" i="16" s="1"/>
  <c r="C2228" i="16"/>
  <c r="F1352" i="16"/>
  <c r="F2240" i="16"/>
  <c r="C567" i="16"/>
  <c r="F1583" i="16"/>
  <c r="C2055" i="16"/>
  <c r="F170" i="16"/>
  <c r="B550" i="16"/>
  <c r="F550" i="16" s="1"/>
  <c r="F568" i="16"/>
  <c r="F160" i="16"/>
  <c r="C200" i="16"/>
  <c r="C272" i="16"/>
  <c r="C384" i="16"/>
  <c r="C446" i="16"/>
  <c r="B510" i="16"/>
  <c r="C602" i="16"/>
  <c r="C810" i="16"/>
  <c r="C820" i="16"/>
  <c r="B882" i="16"/>
  <c r="C1068" i="16"/>
  <c r="B1160" i="16"/>
  <c r="F1160" i="16" s="1"/>
  <c r="F1342" i="16"/>
  <c r="C1376" i="16"/>
  <c r="C1605" i="16"/>
  <c r="F1626" i="16"/>
  <c r="C1763" i="16"/>
  <c r="B1824" i="16"/>
  <c r="C1856" i="16"/>
  <c r="C1970" i="16"/>
  <c r="B2036" i="16"/>
  <c r="F2037" i="16" s="1"/>
  <c r="C2046" i="16"/>
  <c r="C2077" i="16"/>
  <c r="B2210" i="16"/>
  <c r="F2211" i="16" s="1"/>
  <c r="C2313" i="16"/>
  <c r="B2323" i="16"/>
  <c r="B2363" i="16"/>
  <c r="F2363" i="16" s="1"/>
  <c r="B2413" i="16"/>
  <c r="B2487" i="16"/>
  <c r="F2488" i="16" s="1"/>
  <c r="B2582" i="16"/>
  <c r="F2582" i="16" s="1"/>
  <c r="C2593" i="16"/>
  <c r="B2667" i="16"/>
  <c r="C2791" i="16"/>
  <c r="C1444" i="16"/>
  <c r="F1850" i="16"/>
  <c r="F1104" i="16"/>
  <c r="B2378" i="16"/>
  <c r="F665" i="16"/>
  <c r="F526" i="16"/>
  <c r="F71" i="16"/>
  <c r="B901" i="16"/>
  <c r="B1760" i="16"/>
  <c r="B231" i="16"/>
  <c r="B294" i="16"/>
  <c r="F294" i="16" s="1"/>
  <c r="B343" i="16"/>
  <c r="F343" i="16" s="1"/>
  <c r="B395" i="16"/>
  <c r="F395" i="16" s="1"/>
  <c r="C541" i="16"/>
  <c r="B580" i="16"/>
  <c r="C702" i="16"/>
  <c r="F736" i="16"/>
  <c r="B1088" i="16"/>
  <c r="F1088" i="16" s="1"/>
  <c r="C1150" i="16"/>
  <c r="B1169" i="16"/>
  <c r="F1170" i="16" s="1"/>
  <c r="B1430" i="16"/>
  <c r="C1474" i="16"/>
  <c r="B1585" i="16"/>
  <c r="B1847" i="16"/>
  <c r="C2047" i="16"/>
  <c r="C2232" i="16"/>
  <c r="B2253" i="16"/>
  <c r="C2384" i="16"/>
  <c r="B2424" i="16"/>
  <c r="F2424" i="16" s="1"/>
  <c r="F2542" i="16"/>
  <c r="B2573" i="16"/>
  <c r="C2899" i="16"/>
  <c r="C2942" i="16"/>
  <c r="C1768" i="16"/>
  <c r="F2417" i="16"/>
  <c r="B316" i="16"/>
  <c r="C2267" i="16"/>
  <c r="C2428" i="16"/>
  <c r="C806" i="16"/>
  <c r="C1064" i="16"/>
  <c r="B1229" i="16"/>
  <c r="F861" i="16"/>
  <c r="B150" i="16"/>
  <c r="C172" i="16"/>
  <c r="F273" i="16"/>
  <c r="C354" i="16"/>
  <c r="B385" i="16"/>
  <c r="F385" i="16" s="1"/>
  <c r="C406" i="16"/>
  <c r="C542" i="16"/>
  <c r="F769" i="16"/>
  <c r="F821" i="16"/>
  <c r="C1007" i="16"/>
  <c r="B1120" i="16"/>
  <c r="F1120" i="16" s="1"/>
  <c r="B1192" i="16"/>
  <c r="F1192" i="16" s="1"/>
  <c r="B1377" i="16"/>
  <c r="C1441" i="16"/>
  <c r="C1796" i="16"/>
  <c r="C1826" i="16"/>
  <c r="C1878" i="16"/>
  <c r="B1920" i="16"/>
  <c r="F1920" i="16" s="1"/>
  <c r="B2118" i="16"/>
  <c r="B2274" i="16"/>
  <c r="B2364" i="16"/>
  <c r="F2364" i="16" s="1"/>
  <c r="B2414" i="16"/>
  <c r="B2445" i="16"/>
  <c r="C2488" i="16"/>
  <c r="B2509" i="16"/>
  <c r="B2520" i="16"/>
  <c r="B2574" i="16"/>
  <c r="F2574" i="16" s="1"/>
  <c r="B2647" i="16"/>
  <c r="B2728" i="16"/>
  <c r="C2738" i="16"/>
  <c r="B2792" i="16"/>
  <c r="F2792" i="16" s="1"/>
  <c r="B2922" i="16"/>
  <c r="F2923" i="16" s="1"/>
  <c r="C2975" i="16"/>
  <c r="F729" i="16"/>
  <c r="C185" i="16"/>
  <c r="F80" i="16"/>
  <c r="B604" i="16"/>
  <c r="F770" i="16"/>
  <c r="F944" i="16"/>
  <c r="C1628" i="16"/>
  <c r="B1899" i="16"/>
  <c r="F1899" i="16" s="1"/>
  <c r="C1380" i="16"/>
  <c r="C2377" i="16"/>
  <c r="F88" i="16"/>
  <c r="C773" i="16"/>
  <c r="C1092" i="16"/>
  <c r="F1268" i="16"/>
  <c r="F2428" i="16"/>
  <c r="F136" i="16"/>
  <c r="F380" i="16"/>
  <c r="B505" i="16"/>
  <c r="F505" i="16" s="1"/>
  <c r="F1327" i="16"/>
  <c r="F731" i="16"/>
  <c r="B1739" i="16"/>
  <c r="F1740" i="16" s="1"/>
  <c r="C588" i="16"/>
  <c r="F567" i="16"/>
  <c r="B1245" i="16"/>
  <c r="F1346" i="16"/>
  <c r="F1356" i="16"/>
  <c r="F1566" i="16"/>
  <c r="F1681" i="16"/>
  <c r="B2007" i="16"/>
  <c r="F2007" i="16" s="1"/>
  <c r="C2468" i="16"/>
  <c r="B866" i="16"/>
  <c r="F866" i="16" s="1"/>
  <c r="F288" i="16"/>
  <c r="F2492" i="16"/>
  <c r="B546" i="16"/>
  <c r="F546" i="16" s="1"/>
  <c r="C564" i="16"/>
  <c r="F1456" i="16"/>
  <c r="B1913" i="16"/>
  <c r="F166" i="16"/>
  <c r="F178" i="16"/>
  <c r="C348" i="16"/>
  <c r="F2339" i="16"/>
  <c r="F407" i="16"/>
  <c r="F253" i="16"/>
  <c r="C407" i="16"/>
  <c r="F428" i="16"/>
  <c r="B512" i="16"/>
  <c r="F771" i="16"/>
  <c r="F833" i="16"/>
  <c r="F2018" i="16"/>
  <c r="C2059" i="16"/>
  <c r="B2385" i="16"/>
  <c r="F2385" i="16" s="1"/>
  <c r="K18" i="17"/>
  <c r="C2355" i="16"/>
  <c r="B2355" i="16"/>
  <c r="C38" i="16"/>
  <c r="C88" i="16"/>
  <c r="B99" i="16"/>
  <c r="F99" i="16" s="1"/>
  <c r="C147" i="16"/>
  <c r="B153" i="16"/>
  <c r="F153" i="16" s="1"/>
  <c r="C153" i="16"/>
  <c r="C239" i="16"/>
  <c r="B239" i="16"/>
  <c r="F240" i="16" s="1"/>
  <c r="C1194" i="16"/>
  <c r="B1194" i="16"/>
  <c r="F1195" i="16" s="1"/>
  <c r="C16" i="16"/>
  <c r="C44" i="16"/>
  <c r="C55" i="16"/>
  <c r="B66" i="16"/>
  <c r="B72" i="16"/>
  <c r="F72" i="16" s="1"/>
  <c r="C72" i="16"/>
  <c r="C83" i="16"/>
  <c r="B396" i="16"/>
  <c r="B486" i="16"/>
  <c r="C486" i="16"/>
  <c r="B727" i="16"/>
  <c r="F728" i="16" s="1"/>
  <c r="C954" i="16"/>
  <c r="B954" i="16"/>
  <c r="F955" i="16" s="1"/>
  <c r="C1257" i="16"/>
  <c r="B1257" i="16"/>
  <c r="B2480" i="16"/>
  <c r="F2480" i="16" s="1"/>
  <c r="C2480" i="16"/>
  <c r="F44" i="16"/>
  <c r="B130" i="16"/>
  <c r="C130" i="16"/>
  <c r="C247" i="16"/>
  <c r="B247" i="16"/>
  <c r="F248" i="16" s="1"/>
  <c r="C275" i="16"/>
  <c r="B275" i="16"/>
  <c r="F276" i="16" s="1"/>
  <c r="B282" i="16"/>
  <c r="C282" i="16"/>
  <c r="C451" i="16"/>
  <c r="B451" i="16"/>
  <c r="B1066" i="16"/>
  <c r="C1066" i="16"/>
  <c r="B1154" i="16"/>
  <c r="F1155" i="16" s="1"/>
  <c r="C1523" i="16"/>
  <c r="B1523" i="16"/>
  <c r="C2291" i="16"/>
  <c r="B2291" i="16"/>
  <c r="B39" i="16"/>
  <c r="F39" i="16" s="1"/>
  <c r="F55" i="16"/>
  <c r="C6" i="16"/>
  <c r="C28" i="16"/>
  <c r="B347" i="16"/>
  <c r="F348" i="16" s="1"/>
  <c r="C347" i="16"/>
  <c r="B855" i="16"/>
  <c r="F856" i="16" s="1"/>
  <c r="C2481" i="16"/>
  <c r="B2481" i="16"/>
  <c r="C182" i="16"/>
  <c r="B182" i="16"/>
  <c r="F182" i="16" s="1"/>
  <c r="B656" i="16"/>
  <c r="F657" i="16" s="1"/>
  <c r="C656" i="16"/>
  <c r="C1435" i="16"/>
  <c r="B1435" i="16"/>
  <c r="F1435" i="16" s="1"/>
  <c r="B2181" i="16"/>
  <c r="C2181" i="16"/>
  <c r="C2803" i="16"/>
  <c r="B2803" i="16"/>
  <c r="F2803" i="16" s="1"/>
  <c r="C790" i="16"/>
  <c r="B790" i="16"/>
  <c r="F791" i="16" s="1"/>
  <c r="F23" i="16"/>
  <c r="B51" i="16"/>
  <c r="F51" i="16" s="1"/>
  <c r="B74" i="16"/>
  <c r="F79" i="16"/>
  <c r="B131" i="16"/>
  <c r="F143" i="16"/>
  <c r="C170" i="16"/>
  <c r="C177" i="16"/>
  <c r="B355" i="16"/>
  <c r="F356" i="16" s="1"/>
  <c r="B474" i="16"/>
  <c r="F474" i="16" s="1"/>
  <c r="C474" i="16"/>
  <c r="C582" i="16"/>
  <c r="B582" i="16"/>
  <c r="F583" i="16" s="1"/>
  <c r="C714" i="16"/>
  <c r="B714" i="16"/>
  <c r="F714" i="16" s="1"/>
  <c r="B1218" i="16"/>
  <c r="F1219" i="16" s="1"/>
  <c r="C1218" i="16"/>
  <c r="B1709" i="16"/>
  <c r="C1709" i="16"/>
  <c r="B2147" i="16"/>
  <c r="F2148" i="16" s="1"/>
  <c r="C2147" i="16"/>
  <c r="C2782" i="16"/>
  <c r="B2782" i="16"/>
  <c r="B40" i="16"/>
  <c r="C40" i="16"/>
  <c r="C132" i="16"/>
  <c r="B132" i="16"/>
  <c r="F177" i="16"/>
  <c r="B183" i="16"/>
  <c r="F184" i="16" s="1"/>
  <c r="C183" i="16"/>
  <c r="B322" i="16"/>
  <c r="C1142" i="16"/>
  <c r="B1142" i="16"/>
  <c r="F1143" i="16" s="1"/>
  <c r="F95" i="16"/>
  <c r="B7" i="16"/>
  <c r="F7" i="16" s="1"/>
  <c r="C24" i="16"/>
  <c r="B35" i="16"/>
  <c r="F35" i="16" s="1"/>
  <c r="B68" i="16"/>
  <c r="C68" i="16"/>
  <c r="C102" i="16"/>
  <c r="B102" i="16"/>
  <c r="C236" i="16"/>
  <c r="B467" i="16"/>
  <c r="F467" i="16" s="1"/>
  <c r="C467" i="16"/>
  <c r="B808" i="16"/>
  <c r="C808" i="16"/>
  <c r="B891" i="16"/>
  <c r="F891" i="16" s="1"/>
  <c r="B1055" i="16"/>
  <c r="B1095" i="16"/>
  <c r="C1095" i="16"/>
  <c r="B2419" i="16"/>
  <c r="C2419" i="16"/>
  <c r="B784" i="16"/>
  <c r="F785" i="16" s="1"/>
  <c r="C784" i="16"/>
  <c r="B32" i="16"/>
  <c r="C32" i="16"/>
  <c r="B56" i="16"/>
  <c r="F56" i="16" s="1"/>
  <c r="C56" i="16"/>
  <c r="B96" i="16"/>
  <c r="F96" i="16" s="1"/>
  <c r="C96" i="16"/>
  <c r="B164" i="16"/>
  <c r="F164" i="16" s="1"/>
  <c r="C164" i="16"/>
  <c r="C759" i="16"/>
  <c r="B759" i="16"/>
  <c r="F760" i="16" s="1"/>
  <c r="B1183" i="16"/>
  <c r="F1183" i="16" s="1"/>
  <c r="C1183" i="16"/>
  <c r="C8" i="16"/>
  <c r="B75" i="16"/>
  <c r="F76" i="16" s="1"/>
  <c r="B103" i="16"/>
  <c r="C211" i="16"/>
  <c r="B211" i="16"/>
  <c r="F211" i="16" s="1"/>
  <c r="C271" i="16"/>
  <c r="B271" i="16"/>
  <c r="F272" i="16" s="1"/>
  <c r="B878" i="16"/>
  <c r="F878" i="16" s="1"/>
  <c r="C878" i="16"/>
  <c r="F1069" i="16"/>
  <c r="B1669" i="16"/>
  <c r="C1669" i="16"/>
  <c r="B2742" i="16"/>
  <c r="F2742" i="16" s="1"/>
  <c r="C2742" i="16"/>
  <c r="F8" i="16"/>
  <c r="B14" i="16"/>
  <c r="F15" i="16" s="1"/>
  <c r="B42" i="16"/>
  <c r="F43" i="16" s="1"/>
  <c r="B158" i="16"/>
  <c r="F159" i="16" s="1"/>
  <c r="B258" i="16"/>
  <c r="F258" i="16" s="1"/>
  <c r="C695" i="16"/>
  <c r="B695" i="16"/>
  <c r="C925" i="16"/>
  <c r="B925" i="16"/>
  <c r="F925" i="16" s="1"/>
  <c r="C1130" i="16"/>
  <c r="B1130" i="16"/>
  <c r="F1131" i="16" s="1"/>
  <c r="C1170" i="16"/>
  <c r="B1170" i="16"/>
  <c r="F1171" i="16" s="1"/>
  <c r="B1649" i="16"/>
  <c r="C1649" i="16"/>
  <c r="F47" i="16"/>
  <c r="B205" i="16"/>
  <c r="F205" i="16" s="1"/>
  <c r="C205" i="16"/>
  <c r="C317" i="16"/>
  <c r="B317" i="16"/>
  <c r="C558" i="16"/>
  <c r="B558" i="16"/>
  <c r="F559" i="16" s="1"/>
  <c r="C1344" i="16"/>
  <c r="B1344" i="16"/>
  <c r="F1345" i="16" s="1"/>
  <c r="C374" i="16"/>
  <c r="B374" i="16"/>
  <c r="C1937" i="16"/>
  <c r="B1937" i="16"/>
  <c r="F1937" i="16" s="1"/>
  <c r="B26" i="16"/>
  <c r="B59" i="16"/>
  <c r="F59" i="16" s="1"/>
  <c r="C64" i="16"/>
  <c r="C87" i="16"/>
  <c r="C98" i="16"/>
  <c r="C121" i="16"/>
  <c r="F140" i="16"/>
  <c r="C266" i="16"/>
  <c r="B1330" i="16"/>
  <c r="F1331" i="16" s="1"/>
  <c r="C1330" i="16"/>
  <c r="C2736" i="16"/>
  <c r="B2736" i="16"/>
  <c r="B902" i="16"/>
  <c r="C902" i="16"/>
  <c r="B104" i="16"/>
  <c r="C104" i="16"/>
  <c r="B122" i="16"/>
  <c r="F122" i="16" s="1"/>
  <c r="C159" i="16"/>
  <c r="B192" i="16"/>
  <c r="F192" i="16" s="1"/>
  <c r="C192" i="16"/>
  <c r="B206" i="16"/>
  <c r="C206" i="16"/>
  <c r="C318" i="16"/>
  <c r="B318" i="16"/>
  <c r="C359" i="16"/>
  <c r="B359" i="16"/>
  <c r="C401" i="16"/>
  <c r="B401" i="16"/>
  <c r="F402" i="16" s="1"/>
  <c r="C739" i="16"/>
  <c r="B739" i="16"/>
  <c r="F740" i="16" s="1"/>
  <c r="C831" i="16"/>
  <c r="B831" i="16"/>
  <c r="B1071" i="16"/>
  <c r="C1071" i="16"/>
  <c r="B1159" i="16"/>
  <c r="C1159" i="16"/>
  <c r="C1200" i="16"/>
  <c r="B1200" i="16"/>
  <c r="F1200" i="16" s="1"/>
  <c r="B2723" i="16"/>
  <c r="C2723" i="16"/>
  <c r="F217" i="16"/>
  <c r="C335" i="16"/>
  <c r="B365" i="16"/>
  <c r="B420" i="16"/>
  <c r="C535" i="16"/>
  <c r="C596" i="16"/>
  <c r="C690" i="16"/>
  <c r="C825" i="16"/>
  <c r="B1001" i="16"/>
  <c r="B1225" i="16"/>
  <c r="F1226" i="16" s="1"/>
  <c r="C1442" i="16"/>
  <c r="B1442" i="16"/>
  <c r="F1442" i="16" s="1"/>
  <c r="C1793" i="16"/>
  <c r="B1793" i="16"/>
  <c r="B1949" i="16"/>
  <c r="C1949" i="16"/>
  <c r="C2068" i="16"/>
  <c r="C2222" i="16"/>
  <c r="B2222" i="16"/>
  <c r="F2222" i="16" s="1"/>
  <c r="C2297" i="16"/>
  <c r="B2433" i="16"/>
  <c r="F2433" i="16" s="1"/>
  <c r="C2433" i="16"/>
  <c r="C265" i="16"/>
  <c r="B336" i="16"/>
  <c r="F336" i="16" s="1"/>
  <c r="B373" i="16"/>
  <c r="F379" i="16"/>
  <c r="F415" i="16"/>
  <c r="B434" i="16"/>
  <c r="F434" i="16" s="1"/>
  <c r="B458" i="16"/>
  <c r="B475" i="16"/>
  <c r="F476" i="16" s="1"/>
  <c r="C487" i="16"/>
  <c r="B610" i="16"/>
  <c r="F611" i="16" s="1"/>
  <c r="B651" i="16"/>
  <c r="B670" i="16"/>
  <c r="B814" i="16"/>
  <c r="C873" i="16"/>
  <c r="C885" i="16"/>
  <c r="B898" i="16"/>
  <c r="F899" i="16" s="1"/>
  <c r="C914" i="16"/>
  <c r="B967" i="16"/>
  <c r="B996" i="16"/>
  <c r="B1038" i="16"/>
  <c r="F1038" i="16" s="1"/>
  <c r="C1050" i="16"/>
  <c r="B1061" i="16"/>
  <c r="B1208" i="16"/>
  <c r="F1208" i="16" s="1"/>
  <c r="B1271" i="16"/>
  <c r="C1271" i="16"/>
  <c r="F1277" i="16"/>
  <c r="C1366" i="16"/>
  <c r="B1366" i="16"/>
  <c r="C1581" i="16"/>
  <c r="C2008" i="16"/>
  <c r="B2008" i="16"/>
  <c r="F2009" i="16" s="1"/>
  <c r="C2121" i="16"/>
  <c r="B2121" i="16"/>
  <c r="F2122" i="16" s="1"/>
  <c r="C2175" i="16"/>
  <c r="B2175" i="16"/>
  <c r="C2349" i="16"/>
  <c r="B2580" i="16"/>
  <c r="F2581" i="16" s="1"/>
  <c r="C2775" i="16"/>
  <c r="B2903" i="16"/>
  <c r="F20" i="16"/>
  <c r="F84" i="16"/>
  <c r="F213" i="16"/>
  <c r="C415" i="16"/>
  <c r="B445" i="16"/>
  <c r="F445" i="16" s="1"/>
  <c r="B513" i="16"/>
  <c r="C554" i="16"/>
  <c r="C646" i="16"/>
  <c r="C722" i="16"/>
  <c r="C740" i="16"/>
  <c r="B754" i="16"/>
  <c r="C780" i="16"/>
  <c r="C791" i="16"/>
  <c r="C832" i="16"/>
  <c r="C856" i="16"/>
  <c r="B915" i="16"/>
  <c r="F915" i="16" s="1"/>
  <c r="B921" i="16"/>
  <c r="C932" i="16"/>
  <c r="B978" i="16"/>
  <c r="C991" i="16"/>
  <c r="C1015" i="16"/>
  <c r="B1021" i="16"/>
  <c r="F1022" i="16" s="1"/>
  <c r="B1051" i="16"/>
  <c r="B1097" i="16"/>
  <c r="C1103" i="16"/>
  <c r="C1155" i="16"/>
  <c r="B1184" i="16"/>
  <c r="C1266" i="16"/>
  <c r="B1650" i="16"/>
  <c r="C1650" i="16"/>
  <c r="B1889" i="16"/>
  <c r="F1890" i="16" s="1"/>
  <c r="C2918" i="16"/>
  <c r="F537" i="16"/>
  <c r="F734" i="16"/>
  <c r="F803" i="16"/>
  <c r="F909" i="16"/>
  <c r="F1023" i="16"/>
  <c r="F1103" i="16"/>
  <c r="C1278" i="16"/>
  <c r="B1278" i="16"/>
  <c r="F1278" i="16" s="1"/>
  <c r="B1931" i="16"/>
  <c r="F1931" i="16" s="1"/>
  <c r="C1931" i="16"/>
  <c r="B2001" i="16"/>
  <c r="F2002" i="16" s="1"/>
  <c r="C2001" i="16"/>
  <c r="B2454" i="16"/>
  <c r="C2718" i="16"/>
  <c r="B2718" i="16"/>
  <c r="F2718" i="16" s="1"/>
  <c r="B2770" i="16"/>
  <c r="F2770" i="16" s="1"/>
  <c r="B416" i="16"/>
  <c r="F416" i="16" s="1"/>
  <c r="C543" i="16"/>
  <c r="B679" i="16"/>
  <c r="F679" i="16" s="1"/>
  <c r="F705" i="16"/>
  <c r="C735" i="16"/>
  <c r="C786" i="16"/>
  <c r="C962" i="16"/>
  <c r="B973" i="16"/>
  <c r="F973" i="16" s="1"/>
  <c r="C986" i="16"/>
  <c r="B1045" i="16"/>
  <c r="F1127" i="16"/>
  <c r="C1179" i="16"/>
  <c r="C1191" i="16"/>
  <c r="F1220" i="16"/>
  <c r="F1227" i="16"/>
  <c r="B1482" i="16"/>
  <c r="C1482" i="16"/>
  <c r="C1630" i="16"/>
  <c r="B1761" i="16"/>
  <c r="F1762" i="16" s="1"/>
  <c r="C1876" i="16"/>
  <c r="C2056" i="16"/>
  <c r="C2115" i="16"/>
  <c r="C2286" i="16"/>
  <c r="B2286" i="16"/>
  <c r="C2350" i="16"/>
  <c r="B2350" i="16"/>
  <c r="F2350" i="16" s="1"/>
  <c r="C2448" i="16"/>
  <c r="B2448" i="16"/>
  <c r="F2448" i="16" s="1"/>
  <c r="C2462" i="16"/>
  <c r="B2462" i="16"/>
  <c r="F2463" i="16" s="1"/>
  <c r="C2504" i="16"/>
  <c r="B2504" i="16"/>
  <c r="F2505" i="16" s="1"/>
  <c r="C2540" i="16"/>
  <c r="B2540" i="16"/>
  <c r="F2541" i="16" s="1"/>
  <c r="B2875" i="16"/>
  <c r="C2875" i="16"/>
  <c r="B375" i="16"/>
  <c r="C428" i="16"/>
  <c r="B453" i="16"/>
  <c r="B459" i="16"/>
  <c r="B538" i="16"/>
  <c r="F538" i="16" s="1"/>
  <c r="F544" i="16"/>
  <c r="F555" i="16"/>
  <c r="B599" i="16"/>
  <c r="C605" i="16"/>
  <c r="B647" i="16"/>
  <c r="F647" i="16" s="1"/>
  <c r="F792" i="16"/>
  <c r="F1016" i="16"/>
  <c r="C1022" i="16"/>
  <c r="F1287" i="16"/>
  <c r="B1361" i="16"/>
  <c r="B1550" i="16"/>
  <c r="F1550" i="16" s="1"/>
  <c r="C1623" i="16"/>
  <c r="B1623" i="16"/>
  <c r="B1747" i="16"/>
  <c r="F1748" i="16" s="1"/>
  <c r="C1747" i="16"/>
  <c r="B1979" i="16"/>
  <c r="F1979" i="16" s="1"/>
  <c r="C1986" i="16"/>
  <c r="B2057" i="16"/>
  <c r="F2058" i="16" s="1"/>
  <c r="C2057" i="16"/>
  <c r="C2211" i="16"/>
  <c r="B133" i="16"/>
  <c r="C261" i="16"/>
  <c r="C267" i="16"/>
  <c r="C285" i="16"/>
  <c r="B313" i="16"/>
  <c r="B350" i="16"/>
  <c r="C356" i="16"/>
  <c r="C386" i="16"/>
  <c r="F393" i="16"/>
  <c r="B435" i="16"/>
  <c r="F436" i="16" s="1"/>
  <c r="B454" i="16"/>
  <c r="B477" i="16"/>
  <c r="F477" i="16" s="1"/>
  <c r="C532" i="16"/>
  <c r="B658" i="16"/>
  <c r="F658" i="16" s="1"/>
  <c r="C705" i="16"/>
  <c r="B774" i="16"/>
  <c r="F781" i="16"/>
  <c r="C828" i="16"/>
  <c r="C864" i="16"/>
  <c r="F869" i="16"/>
  <c r="B875" i="16"/>
  <c r="F875" i="16" s="1"/>
  <c r="C888" i="16"/>
  <c r="C904" i="16"/>
  <c r="B1005" i="16"/>
  <c r="F1005" i="16" s="1"/>
  <c r="C1122" i="16"/>
  <c r="F1128" i="16"/>
  <c r="C1151" i="16"/>
  <c r="F1168" i="16"/>
  <c r="F1326" i="16"/>
  <c r="C1404" i="16"/>
  <c r="B1543" i="16"/>
  <c r="B1603" i="16"/>
  <c r="C1844" i="16"/>
  <c r="C1919" i="16"/>
  <c r="C2097" i="16"/>
  <c r="B2097" i="16"/>
  <c r="C2218" i="16"/>
  <c r="B2218" i="16"/>
  <c r="F2232" i="16"/>
  <c r="B2287" i="16"/>
  <c r="F2287" i="16" s="1"/>
  <c r="C2409" i="16"/>
  <c r="B2409" i="16"/>
  <c r="F2410" i="16" s="1"/>
  <c r="B2604" i="16"/>
  <c r="B2617" i="16"/>
  <c r="F2618" i="16" s="1"/>
  <c r="C2666" i="16"/>
  <c r="B2666" i="16"/>
  <c r="M16" i="17"/>
  <c r="B167" i="16"/>
  <c r="F168" i="16" s="1"/>
  <c r="F262" i="16"/>
  <c r="F267" i="16"/>
  <c r="F285" i="16"/>
  <c r="B291" i="16"/>
  <c r="F291" i="16" s="1"/>
  <c r="F307" i="16"/>
  <c r="F357" i="16"/>
  <c r="B418" i="16"/>
  <c r="B533" i="16"/>
  <c r="F534" i="16" s="1"/>
  <c r="F666" i="16"/>
  <c r="F735" i="16"/>
  <c r="B799" i="16"/>
  <c r="F800" i="16" s="1"/>
  <c r="B811" i="16"/>
  <c r="F811" i="16" s="1"/>
  <c r="B894" i="16"/>
  <c r="F894" i="16" s="1"/>
  <c r="B988" i="16"/>
  <c r="F989" i="16" s="1"/>
  <c r="B1047" i="16"/>
  <c r="F1075" i="16"/>
  <c r="B1081" i="16"/>
  <c r="F1082" i="16" s="1"/>
  <c r="F1135" i="16"/>
  <c r="B1174" i="16"/>
  <c r="F1175" i="16" s="1"/>
  <c r="B1221" i="16"/>
  <c r="F1221" i="16" s="1"/>
  <c r="B1925" i="16"/>
  <c r="C1925" i="16"/>
  <c r="C1967" i="16"/>
  <c r="B1967" i="16"/>
  <c r="F1968" i="16" s="1"/>
  <c r="C1974" i="16"/>
  <c r="B2038" i="16"/>
  <c r="F2039" i="16" s="1"/>
  <c r="B2044" i="16"/>
  <c r="F2044" i="16" s="1"/>
  <c r="B2247" i="16"/>
  <c r="F2248" i="16" s="1"/>
  <c r="C2247" i="16"/>
  <c r="B2371" i="16"/>
  <c r="C2371" i="16"/>
  <c r="C2449" i="16"/>
  <c r="B2449" i="16"/>
  <c r="C2499" i="16"/>
  <c r="B2499" i="16"/>
  <c r="F2499" i="16" s="1"/>
  <c r="C2707" i="16"/>
  <c r="C2758" i="16"/>
  <c r="F173" i="16"/>
  <c r="C196" i="16"/>
  <c r="C202" i="16"/>
  <c r="C232" i="16"/>
  <c r="B243" i="16"/>
  <c r="F243" i="16" s="1"/>
  <c r="B339" i="16"/>
  <c r="F339" i="16" s="1"/>
  <c r="C394" i="16"/>
  <c r="B430" i="16"/>
  <c r="C436" i="16"/>
  <c r="C448" i="16"/>
  <c r="B472" i="16"/>
  <c r="F473" i="16" s="1"/>
  <c r="B497" i="16"/>
  <c r="F498" i="16" s="1"/>
  <c r="B521" i="16"/>
  <c r="C666" i="16"/>
  <c r="F730" i="16"/>
  <c r="C736" i="16"/>
  <c r="C793" i="16"/>
  <c r="B870" i="16"/>
  <c r="F870" i="16" s="1"/>
  <c r="B929" i="16"/>
  <c r="F929" i="16" s="1"/>
  <c r="C935" i="16"/>
  <c r="B957" i="16"/>
  <c r="F957" i="16" s="1"/>
  <c r="B975" i="16"/>
  <c r="B981" i="16"/>
  <c r="B1034" i="16"/>
  <c r="C1087" i="16"/>
  <c r="C1111" i="16"/>
  <c r="C1163" i="16"/>
  <c r="B1186" i="16"/>
  <c r="F1187" i="16" s="1"/>
  <c r="B1210" i="16"/>
  <c r="F1211" i="16" s="1"/>
  <c r="B1610" i="16"/>
  <c r="F1610" i="16" s="1"/>
  <c r="C1610" i="16"/>
  <c r="C2535" i="16"/>
  <c r="B2535" i="16"/>
  <c r="F2535" i="16" s="1"/>
  <c r="C2598" i="16"/>
  <c r="B2598" i="16"/>
  <c r="B947" i="16"/>
  <c r="F947" i="16" s="1"/>
  <c r="F952" i="16"/>
  <c r="B982" i="16"/>
  <c r="B1006" i="16"/>
  <c r="F1007" i="16" s="1"/>
  <c r="B1070" i="16"/>
  <c r="F1070" i="16" s="1"/>
  <c r="C1123" i="16"/>
  <c r="B1146" i="16"/>
  <c r="F1147" i="16" s="1"/>
  <c r="B1158" i="16"/>
  <c r="B1274" i="16"/>
  <c r="F1275" i="16" s="1"/>
  <c r="C1454" i="16"/>
  <c r="B1454" i="16"/>
  <c r="B1597" i="16"/>
  <c r="B1721" i="16"/>
  <c r="C1721" i="16"/>
  <c r="B2158" i="16"/>
  <c r="C2158" i="16"/>
  <c r="C2281" i="16"/>
  <c r="B2438" i="16"/>
  <c r="F2439" i="16" s="1"/>
  <c r="C2701" i="16"/>
  <c r="B2701" i="16"/>
  <c r="B2752" i="16"/>
  <c r="B129" i="16"/>
  <c r="F129" i="16" s="1"/>
  <c r="C145" i="16"/>
  <c r="B151" i="16"/>
  <c r="C162" i="16"/>
  <c r="B186" i="16"/>
  <c r="F187" i="16" s="1"/>
  <c r="C221" i="16"/>
  <c r="C227" i="16"/>
  <c r="C280" i="16"/>
  <c r="F286" i="16"/>
  <c r="B333" i="16"/>
  <c r="B364" i="16"/>
  <c r="F364" i="16" s="1"/>
  <c r="B376" i="16"/>
  <c r="C387" i="16"/>
  <c r="B399" i="16"/>
  <c r="B443" i="16"/>
  <c r="F443" i="16" s="1"/>
  <c r="C466" i="16"/>
  <c r="C503" i="16"/>
  <c r="B516" i="16"/>
  <c r="F516" i="16" s="1"/>
  <c r="B574" i="16"/>
  <c r="F574" i="16" s="1"/>
  <c r="B587" i="16"/>
  <c r="B608" i="16"/>
  <c r="C700" i="16"/>
  <c r="C706" i="16"/>
  <c r="C713" i="16"/>
  <c r="B719" i="16"/>
  <c r="B783" i="16"/>
  <c r="C805" i="16"/>
  <c r="C906" i="16"/>
  <c r="B912" i="16"/>
  <c r="C994" i="16"/>
  <c r="B1000" i="16"/>
  <c r="F1000" i="16" s="1"/>
  <c r="C1012" i="16"/>
  <c r="B1024" i="16"/>
  <c r="F1024" i="16" s="1"/>
  <c r="B1030" i="16"/>
  <c r="F1031" i="16" s="1"/>
  <c r="B1059" i="16"/>
  <c r="F1059" i="16" s="1"/>
  <c r="B1118" i="16"/>
  <c r="F1119" i="16" s="1"/>
  <c r="C1243" i="16"/>
  <c r="B1256" i="16"/>
  <c r="F1256" i="16" s="1"/>
  <c r="B1350" i="16"/>
  <c r="F1351" i="16" s="1"/>
  <c r="C1350" i="16"/>
  <c r="C1370" i="16"/>
  <c r="C1399" i="16"/>
  <c r="B1399" i="16"/>
  <c r="B1426" i="16"/>
  <c r="B1522" i="16"/>
  <c r="F1522" i="16" s="1"/>
  <c r="C1693" i="16"/>
  <c r="B1693" i="16"/>
  <c r="C2404" i="16"/>
  <c r="B2404" i="16"/>
  <c r="C2528" i="16"/>
  <c r="B2528" i="16"/>
  <c r="F2528" i="16" s="1"/>
  <c r="B2835" i="16"/>
  <c r="B2850" i="16"/>
  <c r="F2851" i="16" s="1"/>
  <c r="F210" i="16"/>
  <c r="B222" i="16"/>
  <c r="F223" i="16" s="1"/>
  <c r="C228" i="16"/>
  <c r="C257" i="16"/>
  <c r="B321" i="16"/>
  <c r="B334" i="16"/>
  <c r="F335" i="16" s="1"/>
  <c r="C534" i="16"/>
  <c r="B614" i="16"/>
  <c r="F615" i="16" s="1"/>
  <c r="C682" i="16"/>
  <c r="B707" i="16"/>
  <c r="F707" i="16" s="1"/>
  <c r="C726" i="16"/>
  <c r="F737" i="16"/>
  <c r="C800" i="16"/>
  <c r="C812" i="16"/>
  <c r="C824" i="16"/>
  <c r="C835" i="16"/>
  <c r="C842" i="16"/>
  <c r="C860" i="16"/>
  <c r="C871" i="16"/>
  <c r="F877" i="16"/>
  <c r="C890" i="16"/>
  <c r="B958" i="16"/>
  <c r="C970" i="16"/>
  <c r="B1048" i="16"/>
  <c r="B1112" i="16"/>
  <c r="F1112" i="16" s="1"/>
  <c r="C1135" i="16"/>
  <c r="C1385" i="16"/>
  <c r="B1385" i="16"/>
  <c r="F1385" i="16" s="1"/>
  <c r="C2019" i="16"/>
  <c r="B2019" i="16"/>
  <c r="F2019" i="16" s="1"/>
  <c r="B2159" i="16"/>
  <c r="B2361" i="16"/>
  <c r="F2361" i="16" s="1"/>
  <c r="C1224" i="16"/>
  <c r="B1224" i="16"/>
  <c r="F1224" i="16" s="1"/>
  <c r="B1400" i="16"/>
  <c r="F1400" i="16" s="1"/>
  <c r="C1400" i="16"/>
  <c r="B1478" i="16"/>
  <c r="C1478" i="16"/>
  <c r="B1494" i="16"/>
  <c r="C1494" i="16"/>
  <c r="C1804" i="16"/>
  <c r="B1804" i="16"/>
  <c r="B1825" i="16"/>
  <c r="F1825" i="16" s="1"/>
  <c r="C2080" i="16"/>
  <c r="C2269" i="16"/>
  <c r="B2269" i="16"/>
  <c r="F2270" i="16" s="1"/>
  <c r="B2367" i="16"/>
  <c r="F2368" i="16" s="1"/>
  <c r="B2405" i="16"/>
  <c r="B2493" i="16"/>
  <c r="F2493" i="16" s="1"/>
  <c r="C2585" i="16"/>
  <c r="B2585" i="16"/>
  <c r="F2586" i="16" s="1"/>
  <c r="B2592" i="16"/>
  <c r="F2592" i="16" s="1"/>
  <c r="F257" i="16"/>
  <c r="F169" i="16"/>
  <c r="F181" i="16"/>
  <c r="F233" i="16"/>
  <c r="C245" i="16"/>
  <c r="C303" i="16"/>
  <c r="C327" i="16"/>
  <c r="B340" i="16"/>
  <c r="B371" i="16"/>
  <c r="B479" i="16"/>
  <c r="F504" i="16"/>
  <c r="F523" i="16"/>
  <c r="F701" i="16"/>
  <c r="C770" i="16"/>
  <c r="C777" i="16"/>
  <c r="F848" i="16"/>
  <c r="C854" i="16"/>
  <c r="C1378" i="16"/>
  <c r="B1378" i="16"/>
  <c r="F1378" i="16" s="1"/>
  <c r="C1413" i="16"/>
  <c r="C1471" i="16"/>
  <c r="B1471" i="16"/>
  <c r="B1832" i="16"/>
  <c r="B1894" i="16"/>
  <c r="C1894" i="16"/>
  <c r="B1962" i="16"/>
  <c r="F1962" i="16" s="1"/>
  <c r="C1962" i="16"/>
  <c r="C2200" i="16"/>
  <c r="C2235" i="16"/>
  <c r="B2235" i="16"/>
  <c r="C2494" i="16"/>
  <c r="B2494" i="16"/>
  <c r="C2655" i="16"/>
  <c r="B2655" i="16"/>
  <c r="F2656" i="16" s="1"/>
  <c r="C1276" i="16"/>
  <c r="C1409" i="16"/>
  <c r="C1422" i="16"/>
  <c r="C1466" i="16"/>
  <c r="C1514" i="16"/>
  <c r="C1561" i="16"/>
  <c r="B1579" i="16"/>
  <c r="F1590" i="16"/>
  <c r="C1614" i="16"/>
  <c r="C1621" i="16"/>
  <c r="F1661" i="16"/>
  <c r="C1680" i="16"/>
  <c r="B1715" i="16"/>
  <c r="F1716" i="16" s="1"/>
  <c r="C1766" i="16"/>
  <c r="C1779" i="16"/>
  <c r="C1792" i="16"/>
  <c r="C1838" i="16"/>
  <c r="B1923" i="16"/>
  <c r="F1923" i="16" s="1"/>
  <c r="C2005" i="16"/>
  <c r="B2011" i="16"/>
  <c r="C2060" i="16"/>
  <c r="B2133" i="16"/>
  <c r="F2134" i="16" s="1"/>
  <c r="C2139" i="16"/>
  <c r="C2157" i="16"/>
  <c r="C2169" i="16"/>
  <c r="B2188" i="16"/>
  <c r="F2189" i="16" s="1"/>
  <c r="B2256" i="16"/>
  <c r="F2257" i="16" s="1"/>
  <c r="B2315" i="16"/>
  <c r="F2316" i="16" s="1"/>
  <c r="C2370" i="16"/>
  <c r="B2399" i="16"/>
  <c r="F2399" i="16" s="1"/>
  <c r="B2437" i="16"/>
  <c r="F2438" i="16" s="1"/>
  <c r="B2553" i="16"/>
  <c r="F2554" i="16" s="1"/>
  <c r="B2567" i="16"/>
  <c r="F2622" i="16"/>
  <c r="B2641" i="16"/>
  <c r="F2641" i="16" s="1"/>
  <c r="C2943" i="16"/>
  <c r="F1236" i="16"/>
  <c r="C1460" i="16"/>
  <c r="C1730" i="16"/>
  <c r="B1755" i="16"/>
  <c r="C1805" i="16"/>
  <c r="F1851" i="16"/>
  <c r="B1987" i="16"/>
  <c r="F1987" i="16" s="1"/>
  <c r="C2025" i="16"/>
  <c r="C2110" i="16"/>
  <c r="F2630" i="16"/>
  <c r="B2680" i="16"/>
  <c r="F2680" i="16" s="1"/>
  <c r="C2702" i="16"/>
  <c r="C2743" i="16"/>
  <c r="F2759" i="16"/>
  <c r="B2999" i="16"/>
  <c r="F1664" i="16"/>
  <c r="B1731" i="16"/>
  <c r="C1806" i="16"/>
  <c r="B2069" i="16"/>
  <c r="C2148" i="16"/>
  <c r="C2195" i="16"/>
  <c r="C2207" i="16"/>
  <c r="C2357" i="16"/>
  <c r="C2415" i="16"/>
  <c r="B1483" i="16"/>
  <c r="C1538" i="16"/>
  <c r="B1865" i="16"/>
  <c r="F1969" i="16"/>
  <c r="C2002" i="16"/>
  <c r="C2009" i="16"/>
  <c r="C2026" i="16"/>
  <c r="C2058" i="16"/>
  <c r="F2076" i="16"/>
  <c r="C2100" i="16"/>
  <c r="C2160" i="16"/>
  <c r="C2202" i="16"/>
  <c r="C2219" i="16"/>
  <c r="B2236" i="16"/>
  <c r="C2242" i="16"/>
  <c r="B2345" i="16"/>
  <c r="F2345" i="16" s="1"/>
  <c r="B2358" i="16"/>
  <c r="C2411" i="16"/>
  <c r="B2450" i="16"/>
  <c r="C2476" i="16"/>
  <c r="B2512" i="16"/>
  <c r="C2681" i="16"/>
  <c r="B2692" i="16"/>
  <c r="B2720" i="16"/>
  <c r="B2744" i="16"/>
  <c r="F2745" i="16" s="1"/>
  <c r="B2812" i="16"/>
  <c r="B2927" i="16"/>
  <c r="C2979" i="16"/>
  <c r="F1582" i="16"/>
  <c r="F1891" i="16"/>
  <c r="F2100" i="16"/>
  <c r="F2266" i="16"/>
  <c r="F2411" i="16"/>
  <c r="B2934" i="16"/>
  <c r="F2935" i="16" s="1"/>
  <c r="B2987" i="16"/>
  <c r="C1347" i="16"/>
  <c r="B1353" i="16"/>
  <c r="F1353" i="16" s="1"/>
  <c r="C1364" i="16"/>
  <c r="B1491" i="16"/>
  <c r="C1498" i="16"/>
  <c r="F1518" i="16"/>
  <c r="C1570" i="16"/>
  <c r="B1577" i="16"/>
  <c r="F1577" i="16" s="1"/>
  <c r="C1594" i="16"/>
  <c r="C1606" i="16"/>
  <c r="C1625" i="16"/>
  <c r="C1646" i="16"/>
  <c r="F1677" i="16"/>
  <c r="B1689" i="16"/>
  <c r="B1701" i="16"/>
  <c r="F1701" i="16" s="1"/>
  <c r="C1733" i="16"/>
  <c r="C1789" i="16"/>
  <c r="C1828" i="16"/>
  <c r="B1841" i="16"/>
  <c r="F1841" i="16" s="1"/>
  <c r="C1866" i="16"/>
  <c r="B1873" i="16"/>
  <c r="F1873" i="16" s="1"/>
  <c r="B1879" i="16"/>
  <c r="F1879" i="16" s="1"/>
  <c r="F1921" i="16"/>
  <c r="B1927" i="16"/>
  <c r="F1928" i="16" s="1"/>
  <c r="B1944" i="16"/>
  <c r="C2064" i="16"/>
  <c r="B2083" i="16"/>
  <c r="C2178" i="16"/>
  <c r="B2197" i="16"/>
  <c r="B2226" i="16"/>
  <c r="F2227" i="16" s="1"/>
  <c r="C2272" i="16"/>
  <c r="C2288" i="16"/>
  <c r="B2305" i="16"/>
  <c r="B2381" i="16"/>
  <c r="F2381" i="16" s="1"/>
  <c r="B2406" i="16"/>
  <c r="F2407" i="16" s="1"/>
  <c r="F2550" i="16"/>
  <c r="B2601" i="16"/>
  <c r="F2601" i="16" s="1"/>
  <c r="B2716" i="16"/>
  <c r="F2717" i="16" s="1"/>
  <c r="F2726" i="16"/>
  <c r="B2739" i="16"/>
  <c r="B2772" i="16"/>
  <c r="F2772" i="16" s="1"/>
  <c r="B2866" i="16"/>
  <c r="B1695" i="16"/>
  <c r="F1696" i="16" s="1"/>
  <c r="B1713" i="16"/>
  <c r="F1790" i="16"/>
  <c r="B1945" i="16"/>
  <c r="F1946" i="16" s="1"/>
  <c r="C1977" i="16"/>
  <c r="B1998" i="16"/>
  <c r="F1998" i="16" s="1"/>
  <c r="B2173" i="16"/>
  <c r="F2173" i="16" s="1"/>
  <c r="B2243" i="16"/>
  <c r="F2243" i="16" s="1"/>
  <c r="B2273" i="16"/>
  <c r="B2342" i="16"/>
  <c r="F2343" i="16" s="1"/>
  <c r="B2359" i="16"/>
  <c r="F2360" i="16" s="1"/>
  <c r="B2412" i="16"/>
  <c r="F2412" i="16" s="1"/>
  <c r="B2429" i="16"/>
  <c r="F2429" i="16" s="1"/>
  <c r="B2589" i="16"/>
  <c r="F2590" i="16" s="1"/>
  <c r="B2620" i="16"/>
  <c r="F2621" i="16" s="1"/>
  <c r="B2653" i="16"/>
  <c r="B2658" i="16"/>
  <c r="B2886" i="16"/>
  <c r="B1971" i="16"/>
  <c r="C1991" i="16"/>
  <c r="B2048" i="16"/>
  <c r="B2065" i="16"/>
  <c r="F2066" i="16" s="1"/>
  <c r="C2089" i="16"/>
  <c r="B2107" i="16"/>
  <c r="B2156" i="16"/>
  <c r="C2209" i="16"/>
  <c r="C2237" i="16"/>
  <c r="B2295" i="16"/>
  <c r="C2318" i="16"/>
  <c r="B2324" i="16"/>
  <c r="C2369" i="16"/>
  <c r="B2386" i="16"/>
  <c r="F2387" i="16" s="1"/>
  <c r="C2391" i="16"/>
  <c r="C2402" i="16"/>
  <c r="B2496" i="16"/>
  <c r="F2496" i="16" s="1"/>
  <c r="B2633" i="16"/>
  <c r="F2634" i="16" s="1"/>
  <c r="B2670" i="16"/>
  <c r="C2677" i="16"/>
  <c r="F2699" i="16"/>
  <c r="B2762" i="16"/>
  <c r="F2763" i="16" s="1"/>
  <c r="B2787" i="16"/>
  <c r="B2807" i="16"/>
  <c r="F2808" i="16" s="1"/>
  <c r="B2995" i="16"/>
  <c r="F2995" i="16" s="1"/>
  <c r="C1784" i="16"/>
  <c r="C1836" i="16"/>
  <c r="B1893" i="16"/>
  <c r="F1894" i="16" s="1"/>
  <c r="B1917" i="16"/>
  <c r="B2180" i="16"/>
  <c r="F2228" i="16"/>
  <c r="B2279" i="16"/>
  <c r="F2279" i="16" s="1"/>
  <c r="F2301" i="16"/>
  <c r="F2318" i="16"/>
  <c r="B2382" i="16"/>
  <c r="F2383" i="16" s="1"/>
  <c r="B2403" i="16"/>
  <c r="F2403" i="16" s="1"/>
  <c r="B2521" i="16"/>
  <c r="F2558" i="16"/>
  <c r="B2867" i="16"/>
  <c r="F2867" i="16" s="1"/>
  <c r="C1227" i="16"/>
  <c r="C1234" i="16"/>
  <c r="C1239" i="16"/>
  <c r="C1355" i="16"/>
  <c r="B1360" i="16"/>
  <c r="F1360" i="16" s="1"/>
  <c r="C1390" i="16"/>
  <c r="B1458" i="16"/>
  <c r="B1479" i="16"/>
  <c r="C1506" i="16"/>
  <c r="B1534" i="16"/>
  <c r="F1534" i="16" s="1"/>
  <c r="F1641" i="16"/>
  <c r="C1702" i="16"/>
  <c r="B1734" i="16"/>
  <c r="F1734" i="16" s="1"/>
  <c r="B1797" i="16"/>
  <c r="F1797" i="16" s="1"/>
  <c r="C1830" i="16"/>
  <c r="C1861" i="16"/>
  <c r="C1868" i="16"/>
  <c r="B1887" i="16"/>
  <c r="F1887" i="16" s="1"/>
  <c r="C1898" i="16"/>
  <c r="C1946" i="16"/>
  <c r="C1966" i="16"/>
  <c r="F1978" i="16"/>
  <c r="C2017" i="16"/>
  <c r="C2042" i="16"/>
  <c r="C2078" i="16"/>
  <c r="B2090" i="16"/>
  <c r="C2120" i="16"/>
  <c r="B2215" i="16"/>
  <c r="F2215" i="16" s="1"/>
  <c r="C2249" i="16"/>
  <c r="C2261" i="16"/>
  <c r="F2398" i="16"/>
  <c r="B2418" i="16"/>
  <c r="F2418" i="16" s="1"/>
  <c r="B2572" i="16"/>
  <c r="F2572" i="16" s="1"/>
  <c r="B2615" i="16"/>
  <c r="F2615" i="16" s="1"/>
  <c r="B2659" i="16"/>
  <c r="C2665" i="16"/>
  <c r="B2706" i="16"/>
  <c r="F2707" i="16" s="1"/>
  <c r="B2722" i="16"/>
  <c r="F2722" i="16" s="1"/>
  <c r="C2757" i="16"/>
  <c r="C2769" i="16"/>
  <c r="B2874" i="16"/>
  <c r="C2894" i="16"/>
  <c r="C2955" i="16"/>
  <c r="F29" i="17"/>
  <c r="C1259" i="16"/>
  <c r="F1390" i="16"/>
  <c r="C1486" i="16"/>
  <c r="B1527" i="16"/>
  <c r="F1741" i="16"/>
  <c r="F2078" i="16"/>
  <c r="F2262" i="16"/>
  <c r="F2654" i="16"/>
  <c r="F228" i="16"/>
  <c r="F287" i="16"/>
  <c r="F148" i="16"/>
  <c r="F179" i="16"/>
  <c r="F180" i="16"/>
  <c r="F188" i="16"/>
  <c r="F144" i="16"/>
  <c r="F224" i="16"/>
  <c r="F268" i="16"/>
  <c r="C391" i="16"/>
  <c r="B391" i="16"/>
  <c r="F392" i="16" s="1"/>
  <c r="C671" i="16"/>
  <c r="B671" i="16"/>
  <c r="F261" i="16"/>
  <c r="B480" i="16"/>
  <c r="F480" i="16" s="1"/>
  <c r="C615" i="16"/>
  <c r="B127" i="16"/>
  <c r="F127" i="16" s="1"/>
  <c r="B149" i="16"/>
  <c r="F149" i="16" s="1"/>
  <c r="B154" i="16"/>
  <c r="C168" i="16"/>
  <c r="B215" i="16"/>
  <c r="B229" i="16"/>
  <c r="F229" i="16" s="1"/>
  <c r="B234" i="16"/>
  <c r="F234" i="16" s="1"/>
  <c r="C248" i="16"/>
  <c r="B312" i="16"/>
  <c r="C329" i="16"/>
  <c r="B329" i="16"/>
  <c r="F329" i="16" s="1"/>
  <c r="C392" i="16"/>
  <c r="C311" i="16"/>
  <c r="B311" i="16"/>
  <c r="C412" i="16"/>
  <c r="B412" i="16"/>
  <c r="F413" i="16" s="1"/>
  <c r="B527" i="16"/>
  <c r="F527" i="16" s="1"/>
  <c r="C527" i="16"/>
  <c r="F554" i="16"/>
  <c r="C140" i="16"/>
  <c r="C173" i="16"/>
  <c r="B201" i="16"/>
  <c r="F201" i="16" s="1"/>
  <c r="C220" i="16"/>
  <c r="C253" i="16"/>
  <c r="B281" i="16"/>
  <c r="F281" i="16" s="1"/>
  <c r="C336" i="16"/>
  <c r="C341" i="16"/>
  <c r="B501" i="16"/>
  <c r="F515" i="16"/>
  <c r="C887" i="16"/>
  <c r="B887" i="16"/>
  <c r="F888" i="16" s="1"/>
  <c r="C547" i="16"/>
  <c r="B547" i="16"/>
  <c r="C1177" i="16"/>
  <c r="B1177" i="16"/>
  <c r="C323" i="16"/>
  <c r="B323" i="16"/>
  <c r="C330" i="16"/>
  <c r="B330" i="16"/>
  <c r="F342" i="16"/>
  <c r="F354" i="16"/>
  <c r="C361" i="16"/>
  <c r="B361" i="16"/>
  <c r="C367" i="16"/>
  <c r="B367" i="16"/>
  <c r="F367" i="16" s="1"/>
  <c r="C509" i="16"/>
  <c r="B509" i="16"/>
  <c r="B601" i="16"/>
  <c r="C601" i="16"/>
  <c r="C642" i="16"/>
  <c r="B642" i="16"/>
  <c r="C850" i="16"/>
  <c r="B850" i="16"/>
  <c r="C169" i="16"/>
  <c r="B197" i="16"/>
  <c r="F197" i="16" s="1"/>
  <c r="C216" i="16"/>
  <c r="C249" i="16"/>
  <c r="B263" i="16"/>
  <c r="F263" i="16" s="1"/>
  <c r="B277" i="16"/>
  <c r="F277" i="16" s="1"/>
  <c r="C307" i="16"/>
  <c r="B337" i="16"/>
  <c r="C355" i="16"/>
  <c r="B400" i="16"/>
  <c r="F414" i="16"/>
  <c r="B488" i="16"/>
  <c r="F488" i="16" s="1"/>
  <c r="C523" i="16"/>
  <c r="F346" i="16"/>
  <c r="B649" i="16"/>
  <c r="F649" i="16" s="1"/>
  <c r="C649" i="16"/>
  <c r="B155" i="16"/>
  <c r="B174" i="16"/>
  <c r="F174" i="16" s="1"/>
  <c r="B235" i="16"/>
  <c r="B254" i="16"/>
  <c r="F254" i="16" s="1"/>
  <c r="C349" i="16"/>
  <c r="B349" i="16"/>
  <c r="F349" i="16" s="1"/>
  <c r="B362" i="16"/>
  <c r="F363" i="16" s="1"/>
  <c r="F394" i="16"/>
  <c r="F529" i="16"/>
  <c r="F543" i="16"/>
  <c r="B569" i="16"/>
  <c r="F569" i="16" s="1"/>
  <c r="B602" i="16"/>
  <c r="B120" i="16"/>
  <c r="F120" i="16" s="1"/>
  <c r="B141" i="16"/>
  <c r="B146" i="16"/>
  <c r="F146" i="16" s="1"/>
  <c r="C160" i="16"/>
  <c r="B207" i="16"/>
  <c r="B221" i="16"/>
  <c r="B226" i="16"/>
  <c r="F226" i="16" s="1"/>
  <c r="C240" i="16"/>
  <c r="C273" i="16"/>
  <c r="B302" i="16"/>
  <c r="F302" i="16" s="1"/>
  <c r="B595" i="16"/>
  <c r="F595" i="16" s="1"/>
  <c r="F305" i="16"/>
  <c r="B12" i="16"/>
  <c r="F12" i="16" s="1"/>
  <c r="C165" i="16"/>
  <c r="B193" i="16"/>
  <c r="C212" i="16"/>
  <c r="B259" i="16"/>
  <c r="B278" i="16"/>
  <c r="F278" i="16" s="1"/>
  <c r="C292" i="16"/>
  <c r="B292" i="16"/>
  <c r="F381" i="16"/>
  <c r="B387" i="16"/>
  <c r="F387" i="16" s="1"/>
  <c r="C395" i="16"/>
  <c r="C537" i="16"/>
  <c r="C634" i="16"/>
  <c r="B634" i="16"/>
  <c r="B245" i="16"/>
  <c r="F245" i="16" s="1"/>
  <c r="C264" i="16"/>
  <c r="F308" i="16"/>
  <c r="F314" i="16"/>
  <c r="B325" i="16"/>
  <c r="F325" i="16" s="1"/>
  <c r="C332" i="16"/>
  <c r="B332" i="16"/>
  <c r="C408" i="16"/>
  <c r="C429" i="16"/>
  <c r="B429" i="16"/>
  <c r="F429" i="16" s="1"/>
  <c r="B463" i="16"/>
  <c r="F464" i="16" s="1"/>
  <c r="C778" i="16"/>
  <c r="B778" i="16"/>
  <c r="B203" i="16"/>
  <c r="B283" i="16"/>
  <c r="B303" i="16"/>
  <c r="C450" i="16"/>
  <c r="B450" i="16"/>
  <c r="C518" i="16"/>
  <c r="C762" i="16"/>
  <c r="B762" i="16"/>
  <c r="F762" i="16" s="1"/>
  <c r="B125" i="16"/>
  <c r="B175" i="16"/>
  <c r="B189" i="16"/>
  <c r="F189" i="16" s="1"/>
  <c r="B194" i="16"/>
  <c r="F195" i="16" s="1"/>
  <c r="C208" i="16"/>
  <c r="B255" i="16"/>
  <c r="B269" i="16"/>
  <c r="F269" i="16" s="1"/>
  <c r="B274" i="16"/>
  <c r="F274" i="16" s="1"/>
  <c r="C288" i="16"/>
  <c r="B320" i="16"/>
  <c r="C388" i="16"/>
  <c r="B388" i="16"/>
  <c r="B532" i="16"/>
  <c r="F532" i="16" s="1"/>
  <c r="C731" i="16"/>
  <c r="C1083" i="16"/>
  <c r="B1083" i="16"/>
  <c r="F1083" i="16" s="1"/>
  <c r="B161" i="16"/>
  <c r="F161" i="16" s="1"/>
  <c r="C180" i="16"/>
  <c r="C213" i="16"/>
  <c r="B241" i="16"/>
  <c r="F241" i="16" s="1"/>
  <c r="C260" i="16"/>
  <c r="C315" i="16"/>
  <c r="C344" i="16"/>
  <c r="B344" i="16"/>
  <c r="C351" i="16"/>
  <c r="B351" i="16"/>
  <c r="C370" i="16"/>
  <c r="B370" i="16"/>
  <c r="C738" i="16"/>
  <c r="B738" i="16"/>
  <c r="F738" i="16" s="1"/>
  <c r="B9" i="16"/>
  <c r="F9" i="16" s="1"/>
  <c r="B21" i="16"/>
  <c r="F21" i="16" s="1"/>
  <c r="B29" i="16"/>
  <c r="F29" i="16" s="1"/>
  <c r="B37" i="16"/>
  <c r="F37" i="16" s="1"/>
  <c r="B45" i="16"/>
  <c r="F45" i="16" s="1"/>
  <c r="B49" i="16"/>
  <c r="F49" i="16" s="1"/>
  <c r="B53" i="16"/>
  <c r="F53" i="16" s="1"/>
  <c r="B61" i="16"/>
  <c r="F61" i="16" s="1"/>
  <c r="B65" i="16"/>
  <c r="F65" i="16" s="1"/>
  <c r="B69" i="16"/>
  <c r="B73" i="16"/>
  <c r="B77" i="16"/>
  <c r="F77" i="16" s="1"/>
  <c r="B81" i="16"/>
  <c r="F81" i="16" s="1"/>
  <c r="B85" i="16"/>
  <c r="F85" i="16" s="1"/>
  <c r="B89" i="16"/>
  <c r="F89" i="16" s="1"/>
  <c r="B93" i="16"/>
  <c r="F93" i="16" s="1"/>
  <c r="B97" i="16"/>
  <c r="B101" i="16"/>
  <c r="F101" i="16" s="1"/>
  <c r="B117" i="16"/>
  <c r="F117" i="16" s="1"/>
  <c r="B138" i="16"/>
  <c r="F138" i="16" s="1"/>
  <c r="B199" i="16"/>
  <c r="F199" i="16" s="1"/>
  <c r="B218" i="16"/>
  <c r="F218" i="16" s="1"/>
  <c r="B279" i="16"/>
  <c r="F280" i="16" s="1"/>
  <c r="C309" i="16"/>
  <c r="B309" i="16"/>
  <c r="F309" i="16" s="1"/>
  <c r="B358" i="16"/>
  <c r="F358" i="16" s="1"/>
  <c r="B383" i="16"/>
  <c r="B417" i="16"/>
  <c r="C471" i="16"/>
  <c r="B471" i="16"/>
  <c r="B484" i="16"/>
  <c r="B717" i="16"/>
  <c r="C717" i="16"/>
  <c r="B13" i="16"/>
  <c r="B17" i="16"/>
  <c r="F17" i="16" s="1"/>
  <c r="B25" i="16"/>
  <c r="F25" i="16" s="1"/>
  <c r="B33" i="16"/>
  <c r="B41" i="16"/>
  <c r="F41" i="16" s="1"/>
  <c r="B57" i="16"/>
  <c r="B105" i="16"/>
  <c r="B134" i="16"/>
  <c r="B171" i="16"/>
  <c r="F171" i="16" s="1"/>
  <c r="B185" i="16"/>
  <c r="F185" i="16" s="1"/>
  <c r="B190" i="16"/>
  <c r="C204" i="16"/>
  <c r="B251" i="16"/>
  <c r="F251" i="16" s="1"/>
  <c r="B265" i="16"/>
  <c r="F265" i="16" s="1"/>
  <c r="B270" i="16"/>
  <c r="C284" i="16"/>
  <c r="B299" i="16"/>
  <c r="F299" i="16" s="1"/>
  <c r="B438" i="16"/>
  <c r="F438" i="16" s="1"/>
  <c r="C492" i="16"/>
  <c r="B492" i="16"/>
  <c r="C505" i="16"/>
  <c r="B157" i="16"/>
  <c r="F157" i="16" s="1"/>
  <c r="C176" i="16"/>
  <c r="C209" i="16"/>
  <c r="B237" i="16"/>
  <c r="F237" i="16" s="1"/>
  <c r="C256" i="16"/>
  <c r="C289" i="16"/>
  <c r="B289" i="16"/>
  <c r="F289" i="16" s="1"/>
  <c r="B327" i="16"/>
  <c r="F327" i="16" s="1"/>
  <c r="C345" i="16"/>
  <c r="C513" i="16"/>
  <c r="C553" i="16"/>
  <c r="B628" i="16"/>
  <c r="F629" i="16" s="1"/>
  <c r="C628" i="16"/>
  <c r="C333" i="16"/>
  <c r="C413" i="16"/>
  <c r="B426" i="16"/>
  <c r="F426" i="16" s="1"/>
  <c r="B447" i="16"/>
  <c r="F447" i="16" s="1"/>
  <c r="B468" i="16"/>
  <c r="C493" i="16"/>
  <c r="B506" i="16"/>
  <c r="F506" i="16" s="1"/>
  <c r="C583" i="16"/>
  <c r="C603" i="16"/>
  <c r="B603" i="16"/>
  <c r="F604" i="16" s="1"/>
  <c r="B616" i="16"/>
  <c r="F616" i="16" s="1"/>
  <c r="B622" i="16"/>
  <c r="C629" i="16"/>
  <c r="B672" i="16"/>
  <c r="C672" i="16"/>
  <c r="C747" i="16"/>
  <c r="B747" i="16"/>
  <c r="C779" i="16"/>
  <c r="B779" i="16"/>
  <c r="B405" i="16"/>
  <c r="F405" i="16" s="1"/>
  <c r="C409" i="16"/>
  <c r="B485" i="16"/>
  <c r="C489" i="16"/>
  <c r="B519" i="16"/>
  <c r="F519" i="16" s="1"/>
  <c r="B564" i="16"/>
  <c r="F564" i="16" s="1"/>
  <c r="B680" i="16"/>
  <c r="C680" i="16"/>
  <c r="F732" i="16"/>
  <c r="C771" i="16"/>
  <c r="B836" i="16"/>
  <c r="F836" i="16" s="1"/>
  <c r="C836" i="16"/>
  <c r="B859" i="16"/>
  <c r="F860" i="16" s="1"/>
  <c r="C859" i="16"/>
  <c r="C2907" i="16"/>
  <c r="B2907" i="16"/>
  <c r="C570" i="16"/>
  <c r="B570" i="16"/>
  <c r="B577" i="16"/>
  <c r="F577" i="16" s="1"/>
  <c r="C577" i="16"/>
  <c r="B644" i="16"/>
  <c r="C644" i="16"/>
  <c r="B756" i="16"/>
  <c r="C756" i="16"/>
  <c r="B1363" i="16"/>
  <c r="F1363" i="16" s="1"/>
  <c r="C1363" i="16"/>
  <c r="C571" i="16"/>
  <c r="B571" i="16"/>
  <c r="C584" i="16"/>
  <c r="B584" i="16"/>
  <c r="F584" i="16" s="1"/>
  <c r="B637" i="16"/>
  <c r="F638" i="16" s="1"/>
  <c r="C637" i="16"/>
  <c r="B372" i="16"/>
  <c r="B410" i="16"/>
  <c r="F410" i="16" s="1"/>
  <c r="B431" i="16"/>
  <c r="B452" i="16"/>
  <c r="B490" i="16"/>
  <c r="F490" i="16" s="1"/>
  <c r="B520" i="16"/>
  <c r="F549" i="16"/>
  <c r="C565" i="16"/>
  <c r="B578" i="16"/>
  <c r="F651" i="16"/>
  <c r="B681" i="16"/>
  <c r="C681" i="16"/>
  <c r="F772" i="16"/>
  <c r="C313" i="16"/>
  <c r="B389" i="16"/>
  <c r="C393" i="16"/>
  <c r="B469" i="16"/>
  <c r="C473" i="16"/>
  <c r="C507" i="16"/>
  <c r="B511" i="16"/>
  <c r="F524" i="16"/>
  <c r="C529" i="16"/>
  <c r="B539" i="16"/>
  <c r="C544" i="16"/>
  <c r="C591" i="16"/>
  <c r="B591" i="16"/>
  <c r="F591" i="16" s="1"/>
  <c r="C631" i="16"/>
  <c r="B631" i="16"/>
  <c r="C638" i="16"/>
  <c r="B765" i="16"/>
  <c r="F765" i="16" s="1"/>
  <c r="C765" i="16"/>
  <c r="B911" i="16"/>
  <c r="C911" i="16"/>
  <c r="B585" i="16"/>
  <c r="C585" i="16"/>
  <c r="C592" i="16"/>
  <c r="B592" i="16"/>
  <c r="C598" i="16"/>
  <c r="B598" i="16"/>
  <c r="C674" i="16"/>
  <c r="B674" i="16"/>
  <c r="B712" i="16"/>
  <c r="F713" i="16" s="1"/>
  <c r="C712" i="16"/>
  <c r="B948" i="16"/>
  <c r="C948" i="16"/>
  <c r="C976" i="16"/>
  <c r="B360" i="16"/>
  <c r="B398" i="16"/>
  <c r="B419" i="16"/>
  <c r="B440" i="16"/>
  <c r="B478" i="16"/>
  <c r="B499" i="16"/>
  <c r="F499" i="16" s="1"/>
  <c r="B530" i="16"/>
  <c r="B572" i="16"/>
  <c r="C572" i="16"/>
  <c r="B606" i="16"/>
  <c r="B817" i="16"/>
  <c r="F817" i="16" s="1"/>
  <c r="C817" i="16"/>
  <c r="B297" i="16"/>
  <c r="C301" i="16"/>
  <c r="B377" i="16"/>
  <c r="C381" i="16"/>
  <c r="B457" i="16"/>
  <c r="C461" i="16"/>
  <c r="F560" i="16"/>
  <c r="C573" i="16"/>
  <c r="B579" i="16"/>
  <c r="C612" i="16"/>
  <c r="B612" i="16"/>
  <c r="F612" i="16" s="1"/>
  <c r="B639" i="16"/>
  <c r="F639" i="16" s="1"/>
  <c r="C667" i="16"/>
  <c r="B667" i="16"/>
  <c r="F667" i="16" s="1"/>
  <c r="F691" i="16"/>
  <c r="B927" i="16"/>
  <c r="F927" i="16" s="1"/>
  <c r="C927" i="16"/>
  <c r="B970" i="16"/>
  <c r="B1204" i="16"/>
  <c r="F1204" i="16" s="1"/>
  <c r="B310" i="16"/>
  <c r="B331" i="16"/>
  <c r="B352" i="16"/>
  <c r="B390" i="16"/>
  <c r="B411" i="16"/>
  <c r="B432" i="16"/>
  <c r="B470" i="16"/>
  <c r="B491" i="16"/>
  <c r="B508" i="16"/>
  <c r="F508" i="16" s="1"/>
  <c r="B540" i="16"/>
  <c r="C586" i="16"/>
  <c r="B586" i="16"/>
  <c r="C659" i="16"/>
  <c r="B659" i="16"/>
  <c r="F659" i="16" s="1"/>
  <c r="B676" i="16"/>
  <c r="C676" i="16"/>
  <c r="C883" i="16"/>
  <c r="B883" i="16"/>
  <c r="C293" i="16"/>
  <c r="B369" i="16"/>
  <c r="F369" i="16" s="1"/>
  <c r="C373" i="16"/>
  <c r="B449" i="16"/>
  <c r="F449" i="16" s="1"/>
  <c r="C453" i="16"/>
  <c r="B535" i="16"/>
  <c r="F545" i="16"/>
  <c r="C556" i="16"/>
  <c r="B561" i="16"/>
  <c r="F561" i="16" s="1"/>
  <c r="C743" i="16"/>
  <c r="B743" i="16"/>
  <c r="C826" i="16"/>
  <c r="B826" i="16"/>
  <c r="F827" i="16" s="1"/>
  <c r="B906" i="16"/>
  <c r="F907" i="16" s="1"/>
  <c r="B382" i="16"/>
  <c r="F382" i="16" s="1"/>
  <c r="B403" i="16"/>
  <c r="F403" i="16" s="1"/>
  <c r="B424" i="16"/>
  <c r="F424" i="16" s="1"/>
  <c r="B462" i="16"/>
  <c r="F462" i="16" s="1"/>
  <c r="B483" i="16"/>
  <c r="F483" i="16" s="1"/>
  <c r="B517" i="16"/>
  <c r="C551" i="16"/>
  <c r="F556" i="16"/>
  <c r="C607" i="16"/>
  <c r="B607" i="16"/>
  <c r="F608" i="16" s="1"/>
  <c r="C619" i="16"/>
  <c r="B619" i="16"/>
  <c r="F619" i="16" s="1"/>
  <c r="B640" i="16"/>
  <c r="C640" i="16"/>
  <c r="B668" i="16"/>
  <c r="C668" i="16"/>
  <c r="B1190" i="16"/>
  <c r="C1190" i="16"/>
  <c r="C365" i="16"/>
  <c r="B441" i="16"/>
  <c r="C445" i="16"/>
  <c r="C531" i="16"/>
  <c r="C594" i="16"/>
  <c r="B600" i="16"/>
  <c r="F600" i="16" s="1"/>
  <c r="B633" i="16"/>
  <c r="B699" i="16"/>
  <c r="B841" i="16"/>
  <c r="F842" i="16" s="1"/>
  <c r="C841" i="16"/>
  <c r="B661" i="16"/>
  <c r="F661" i="16" s="1"/>
  <c r="C661" i="16"/>
  <c r="B669" i="16"/>
  <c r="C669" i="16"/>
  <c r="B685" i="16"/>
  <c r="F685" i="16" s="1"/>
  <c r="C685" i="16"/>
  <c r="C1140" i="16"/>
  <c r="B1140" i="16"/>
  <c r="F1140" i="16" s="1"/>
  <c r="C357" i="16"/>
  <c r="C437" i="16"/>
  <c r="B588" i="16"/>
  <c r="B620" i="16"/>
  <c r="B627" i="16"/>
  <c r="C1133" i="16"/>
  <c r="B1133" i="16"/>
  <c r="C353" i="16"/>
  <c r="C433" i="16"/>
  <c r="B662" i="16"/>
  <c r="C686" i="16"/>
  <c r="B753" i="16"/>
  <c r="F753" i="16" s="1"/>
  <c r="C753" i="16"/>
  <c r="C1017" i="16"/>
  <c r="B1017" i="16"/>
  <c r="F1017" i="16" s="1"/>
  <c r="C1041" i="16"/>
  <c r="B1041" i="16"/>
  <c r="F1042" i="16" s="1"/>
  <c r="C2974" i="16"/>
  <c r="B2982" i="16"/>
  <c r="B840" i="16"/>
  <c r="C840" i="16"/>
  <c r="F847" i="16"/>
  <c r="C922" i="16"/>
  <c r="B922" i="16"/>
  <c r="C1076" i="16"/>
  <c r="B1076" i="16"/>
  <c r="F1076" i="16" s="1"/>
  <c r="B1343" i="16"/>
  <c r="F1343" i="16" s="1"/>
  <c r="C1343" i="16"/>
  <c r="C560" i="16"/>
  <c r="B617" i="16"/>
  <c r="C617" i="16"/>
  <c r="B623" i="16"/>
  <c r="B645" i="16"/>
  <c r="C645" i="16"/>
  <c r="B663" i="16"/>
  <c r="F700" i="16"/>
  <c r="C807" i="16"/>
  <c r="B807" i="16"/>
  <c r="B854" i="16"/>
  <c r="F854" i="16" s="1"/>
  <c r="B541" i="16"/>
  <c r="B565" i="16"/>
  <c r="F566" i="16" s="1"/>
  <c r="B575" i="16"/>
  <c r="B596" i="16"/>
  <c r="F688" i="16"/>
  <c r="F908" i="16"/>
  <c r="C1035" i="16"/>
  <c r="B1035" i="16"/>
  <c r="B689" i="16"/>
  <c r="F689" i="16" s="1"/>
  <c r="C689" i="16"/>
  <c r="B708" i="16"/>
  <c r="C708" i="16"/>
  <c r="B721" i="16"/>
  <c r="F721" i="16" s="1"/>
  <c r="C721" i="16"/>
  <c r="C965" i="16"/>
  <c r="B993" i="16"/>
  <c r="F994" i="16" s="1"/>
  <c r="B1328" i="16"/>
  <c r="F1328" i="16" s="1"/>
  <c r="C1467" i="16"/>
  <c r="B1467" i="16"/>
  <c r="F1467" i="16" s="1"/>
  <c r="C624" i="16"/>
  <c r="B635" i="16"/>
  <c r="C664" i="16"/>
  <c r="C916" i="16"/>
  <c r="B916" i="16"/>
  <c r="B1319" i="16"/>
  <c r="C1319" i="16"/>
  <c r="F1519" i="16"/>
  <c r="B641" i="16"/>
  <c r="C641" i="16"/>
  <c r="B677" i="16"/>
  <c r="F678" i="16" s="1"/>
  <c r="C677" i="16"/>
  <c r="F741" i="16"/>
  <c r="B748" i="16"/>
  <c r="C748" i="16"/>
  <c r="B775" i="16"/>
  <c r="B822" i="16"/>
  <c r="F822" i="16" s="1"/>
  <c r="C938" i="16"/>
  <c r="B938" i="16"/>
  <c r="F966" i="16"/>
  <c r="C1101" i="16"/>
  <c r="B1101" i="16"/>
  <c r="C630" i="16"/>
  <c r="B652" i="16"/>
  <c r="C652" i="16"/>
  <c r="C658" i="16"/>
  <c r="B703" i="16"/>
  <c r="F703" i="16" s="1"/>
  <c r="C709" i="16"/>
  <c r="F768" i="16"/>
  <c r="C869" i="16"/>
  <c r="C917" i="16"/>
  <c r="B917" i="16"/>
  <c r="B716" i="16"/>
  <c r="C716" i="16"/>
  <c r="C897" i="16"/>
  <c r="B897" i="16"/>
  <c r="F897" i="16" s="1"/>
  <c r="C939" i="16"/>
  <c r="B939" i="16"/>
  <c r="F940" i="16" s="1"/>
  <c r="C959" i="16"/>
  <c r="B959" i="16"/>
  <c r="B1398" i="16"/>
  <c r="C1398" i="16"/>
  <c r="B557" i="16"/>
  <c r="F557" i="16" s="1"/>
  <c r="B593" i="16"/>
  <c r="C593" i="16"/>
  <c r="C625" i="16"/>
  <c r="B636" i="16"/>
  <c r="C636" i="16"/>
  <c r="C749" i="16"/>
  <c r="B789" i="16"/>
  <c r="F789" i="16" s="1"/>
  <c r="B1172" i="16"/>
  <c r="F1172" i="16" s="1"/>
  <c r="B609" i="16"/>
  <c r="C609" i="16"/>
  <c r="B932" i="16"/>
  <c r="C960" i="16"/>
  <c r="B960" i="16"/>
  <c r="B1231" i="16"/>
  <c r="C1231" i="16"/>
  <c r="B1303" i="16"/>
  <c r="F1303" i="16" s="1"/>
  <c r="C1303" i="16"/>
  <c r="B1392" i="16"/>
  <c r="C1392" i="16"/>
  <c r="C1145" i="16"/>
  <c r="B1145" i="16"/>
  <c r="B1294" i="16"/>
  <c r="F1295" i="16" s="1"/>
  <c r="C1294" i="16"/>
  <c r="B757" i="16"/>
  <c r="C757" i="16"/>
  <c r="B845" i="16"/>
  <c r="F845" i="16" s="1"/>
  <c r="C845" i="16"/>
  <c r="B626" i="16"/>
  <c r="F626" i="16" s="1"/>
  <c r="B632" i="16"/>
  <c r="C632" i="16"/>
  <c r="B643" i="16"/>
  <c r="C660" i="16"/>
  <c r="C744" i="16"/>
  <c r="C892" i="16"/>
  <c r="B621" i="16"/>
  <c r="C621" i="16"/>
  <c r="B673" i="16"/>
  <c r="B686" i="16"/>
  <c r="F692" i="16"/>
  <c r="B725" i="16"/>
  <c r="F725" i="16" s="1"/>
  <c r="C725" i="16"/>
  <c r="B798" i="16"/>
  <c r="F798" i="16" s="1"/>
  <c r="F865" i="16"/>
  <c r="C1089" i="16"/>
  <c r="B1089" i="16"/>
  <c r="C953" i="16"/>
  <c r="B953" i="16"/>
  <c r="F953" i="16" s="1"/>
  <c r="C1040" i="16"/>
  <c r="B1040" i="16"/>
  <c r="B1334" i="16"/>
  <c r="C1334" i="16"/>
  <c r="C1475" i="16"/>
  <c r="B1475" i="16"/>
  <c r="F1475" i="16" s="1"/>
  <c r="B581" i="16"/>
  <c r="F788" i="16"/>
  <c r="B793" i="16"/>
  <c r="F793" i="16" s="1"/>
  <c r="F868" i="16"/>
  <c r="B873" i="16"/>
  <c r="F873" i="16" s="1"/>
  <c r="C964" i="16"/>
  <c r="B964" i="16"/>
  <c r="F964" i="16" s="1"/>
  <c r="B1028" i="16"/>
  <c r="F1028" i="16" s="1"/>
  <c r="F1052" i="16"/>
  <c r="C1088" i="16"/>
  <c r="C1094" i="16"/>
  <c r="B1094" i="16"/>
  <c r="F1094" i="16" s="1"/>
  <c r="C1217" i="16"/>
  <c r="B1217" i="16"/>
  <c r="C1265" i="16"/>
  <c r="B1265" i="16"/>
  <c r="F1266" i="16" s="1"/>
  <c r="B1369" i="16"/>
  <c r="C1369" i="16"/>
  <c r="C918" i="16"/>
  <c r="B918" i="16"/>
  <c r="C966" i="16"/>
  <c r="C983" i="16"/>
  <c r="C1042" i="16"/>
  <c r="C1078" i="16"/>
  <c r="B1078" i="16"/>
  <c r="F1078" i="16" s="1"/>
  <c r="B1096" i="16"/>
  <c r="B1279" i="16"/>
  <c r="C1279" i="16"/>
  <c r="B1288" i="16"/>
  <c r="F1288" i="16" s="1"/>
  <c r="B1637" i="16"/>
  <c r="C1637" i="16"/>
  <c r="C977" i="16"/>
  <c r="B977" i="16"/>
  <c r="F977" i="16" s="1"/>
  <c r="F983" i="16"/>
  <c r="F1030" i="16"/>
  <c r="C1109" i="16"/>
  <c r="B1109" i="16"/>
  <c r="F1110" i="16" s="1"/>
  <c r="F1115" i="16"/>
  <c r="C1185" i="16"/>
  <c r="B1185" i="16"/>
  <c r="C1273" i="16"/>
  <c r="B1273" i="16"/>
  <c r="F1273" i="16" s="1"/>
  <c r="C1313" i="16"/>
  <c r="B1313" i="16"/>
  <c r="C1329" i="16"/>
  <c r="B1329" i="16"/>
  <c r="F1371" i="16"/>
  <c r="C1415" i="16"/>
  <c r="B1415" i="16"/>
  <c r="B683" i="16"/>
  <c r="B723" i="16"/>
  <c r="B745" i="16"/>
  <c r="F745" i="16" s="1"/>
  <c r="B763" i="16"/>
  <c r="C804" i="16"/>
  <c r="F813" i="16"/>
  <c r="B823" i="16"/>
  <c r="F824" i="16" s="1"/>
  <c r="B837" i="16"/>
  <c r="C884" i="16"/>
  <c r="C889" i="16"/>
  <c r="F893" i="16"/>
  <c r="C934" i="16"/>
  <c r="B950" i="16"/>
  <c r="F950" i="16" s="1"/>
  <c r="B995" i="16"/>
  <c r="F995" i="16" s="1"/>
  <c r="C1019" i="16"/>
  <c r="B1019" i="16"/>
  <c r="B1036" i="16"/>
  <c r="B1054" i="16"/>
  <c r="F1054" i="16" s="1"/>
  <c r="B1072" i="16"/>
  <c r="B1084" i="16"/>
  <c r="F1085" i="16" s="1"/>
  <c r="C1141" i="16"/>
  <c r="B1141" i="16"/>
  <c r="F1167" i="16"/>
  <c r="C1173" i="16"/>
  <c r="B1173" i="16"/>
  <c r="F1423" i="16"/>
  <c r="C692" i="16"/>
  <c r="C701" i="16"/>
  <c r="C732" i="16"/>
  <c r="C741" i="16"/>
  <c r="C772" i="16"/>
  <c r="F804" i="16"/>
  <c r="B809" i="16"/>
  <c r="B913" i="16"/>
  <c r="F914" i="16" s="1"/>
  <c r="F934" i="16"/>
  <c r="C945" i="16"/>
  <c r="B945" i="16"/>
  <c r="C1025" i="16"/>
  <c r="B1025" i="16"/>
  <c r="C1060" i="16"/>
  <c r="B1067" i="16"/>
  <c r="C1116" i="16"/>
  <c r="B1116" i="16"/>
  <c r="F1116" i="16" s="1"/>
  <c r="C1199" i="16"/>
  <c r="C1240" i="16"/>
  <c r="B1240" i="16"/>
  <c r="F1240" i="16" s="1"/>
  <c r="B1358" i="16"/>
  <c r="F1358" i="16" s="1"/>
  <c r="C1358" i="16"/>
  <c r="C1512" i="16"/>
  <c r="B1512" i="16"/>
  <c r="F1512" i="16" s="1"/>
  <c r="B786" i="16"/>
  <c r="F786" i="16" s="1"/>
  <c r="F903" i="16"/>
  <c r="F1013" i="16"/>
  <c r="C1180" i="16"/>
  <c r="B1180" i="16"/>
  <c r="F1180" i="16" s="1"/>
  <c r="C1254" i="16"/>
  <c r="B1254" i="16"/>
  <c r="F1254" i="16" s="1"/>
  <c r="C1289" i="16"/>
  <c r="B1289" i="16"/>
  <c r="B1314" i="16"/>
  <c r="C1314" i="16"/>
  <c r="B1338" i="16"/>
  <c r="F1339" i="16" s="1"/>
  <c r="C1338" i="16"/>
  <c r="B1416" i="16"/>
  <c r="C1416" i="16"/>
  <c r="C648" i="16"/>
  <c r="C657" i="16"/>
  <c r="C688" i="16"/>
  <c r="C697" i="16"/>
  <c r="C728" i="16"/>
  <c r="C737" i="16"/>
  <c r="B746" i="16"/>
  <c r="C768" i="16"/>
  <c r="B819" i="16"/>
  <c r="F819" i="16" s="1"/>
  <c r="F828" i="16"/>
  <c r="B838" i="16"/>
  <c r="C1073" i="16"/>
  <c r="B1073" i="16"/>
  <c r="F1111" i="16"/>
  <c r="F1129" i="16"/>
  <c r="F1261" i="16"/>
  <c r="B1298" i="16"/>
  <c r="C1298" i="16"/>
  <c r="B1323" i="16"/>
  <c r="F1323" i="16" s="1"/>
  <c r="C1323" i="16"/>
  <c r="B1497" i="16"/>
  <c r="F1498" i="16" s="1"/>
  <c r="C1497" i="16"/>
  <c r="B1622" i="16"/>
  <c r="F1622" i="16" s="1"/>
  <c r="C1622" i="16"/>
  <c r="B675" i="16"/>
  <c r="B715" i="16"/>
  <c r="B755" i="16"/>
  <c r="B777" i="16"/>
  <c r="F777" i="16" s="1"/>
  <c r="B805" i="16"/>
  <c r="F805" i="16" s="1"/>
  <c r="C852" i="16"/>
  <c r="C857" i="16"/>
  <c r="F880" i="16"/>
  <c r="B885" i="16"/>
  <c r="F885" i="16" s="1"/>
  <c r="B941" i="16"/>
  <c r="B962" i="16"/>
  <c r="B1008" i="16"/>
  <c r="F1008" i="16" s="1"/>
  <c r="B1080" i="16"/>
  <c r="F1080" i="16" s="1"/>
  <c r="F1123" i="16"/>
  <c r="B1136" i="16"/>
  <c r="F1136" i="16" s="1"/>
  <c r="F1207" i="16"/>
  <c r="B1241" i="16"/>
  <c r="C1353" i="16"/>
  <c r="B613" i="16"/>
  <c r="C653" i="16"/>
  <c r="C684" i="16"/>
  <c r="C693" i="16"/>
  <c r="C724" i="16"/>
  <c r="C733" i="16"/>
  <c r="B742" i="16"/>
  <c r="F742" i="16" s="1"/>
  <c r="C764" i="16"/>
  <c r="B782" i="16"/>
  <c r="B843" i="16"/>
  <c r="F843" i="16" s="1"/>
  <c r="B862" i="16"/>
  <c r="B979" i="16"/>
  <c r="C1014" i="16"/>
  <c r="B1014" i="16"/>
  <c r="F1014" i="16" s="1"/>
  <c r="F1043" i="16"/>
  <c r="C1062" i="16"/>
  <c r="B1062" i="16"/>
  <c r="B1124" i="16"/>
  <c r="F1124" i="16" s="1"/>
  <c r="C1149" i="16"/>
  <c r="B1149" i="16"/>
  <c r="C1181" i="16"/>
  <c r="B1181" i="16"/>
  <c r="C1255" i="16"/>
  <c r="B1324" i="16"/>
  <c r="F1324" i="16" s="1"/>
  <c r="B711" i="16"/>
  <c r="B751" i="16"/>
  <c r="B773" i="16"/>
  <c r="F773" i="16" s="1"/>
  <c r="C796" i="16"/>
  <c r="B815" i="16"/>
  <c r="B829" i="16"/>
  <c r="F829" i="16" s="1"/>
  <c r="B834" i="16"/>
  <c r="F834" i="16" s="1"/>
  <c r="C876" i="16"/>
  <c r="B895" i="16"/>
  <c r="B920" i="16"/>
  <c r="F935" i="16"/>
  <c r="C1002" i="16"/>
  <c r="B1002" i="16"/>
  <c r="B1269" i="16"/>
  <c r="F1269" i="16" s="1"/>
  <c r="B1299" i="16"/>
  <c r="C1299" i="16"/>
  <c r="B1374" i="16"/>
  <c r="C1374" i="16"/>
  <c r="B605" i="16"/>
  <c r="F605" i="16" s="1"/>
  <c r="C720" i="16"/>
  <c r="C729" i="16"/>
  <c r="C760" i="16"/>
  <c r="C769" i="16"/>
  <c r="F796" i="16"/>
  <c r="B801" i="16"/>
  <c r="B806" i="16"/>
  <c r="C848" i="16"/>
  <c r="C853" i="16"/>
  <c r="F857" i="16"/>
  <c r="B881" i="16"/>
  <c r="B886" i="16"/>
  <c r="B900" i="16"/>
  <c r="B936" i="16"/>
  <c r="F936" i="16" s="1"/>
  <c r="B1003" i="16"/>
  <c r="C1021" i="16"/>
  <c r="C1044" i="16"/>
  <c r="B1044" i="16"/>
  <c r="F1044" i="16" s="1"/>
  <c r="B1050" i="16"/>
  <c r="B1092" i="16"/>
  <c r="B1283" i="16"/>
  <c r="F1283" i="16" s="1"/>
  <c r="C1283" i="16"/>
  <c r="F1411" i="16"/>
  <c r="F1410" i="16"/>
  <c r="C1490" i="16"/>
  <c r="B1490" i="16"/>
  <c r="F1490" i="16" s="1"/>
  <c r="C1557" i="16"/>
  <c r="B839" i="16"/>
  <c r="B858" i="16"/>
  <c r="F858" i="16" s="1"/>
  <c r="B910" i="16"/>
  <c r="F910" i="16" s="1"/>
  <c r="B942" i="16"/>
  <c r="C1009" i="16"/>
  <c r="B1009" i="16"/>
  <c r="F1010" i="16" s="1"/>
  <c r="C1056" i="16"/>
  <c r="B1056" i="16"/>
  <c r="F1056" i="16" s="1"/>
  <c r="C1105" i="16"/>
  <c r="B1105" i="16"/>
  <c r="F1105" i="16" s="1"/>
  <c r="C1125" i="16"/>
  <c r="B1125" i="16"/>
  <c r="B1222" i="16"/>
  <c r="C1434" i="16"/>
  <c r="B1434" i="16"/>
  <c r="B597" i="16"/>
  <c r="C792" i="16"/>
  <c r="C797" i="16"/>
  <c r="B825" i="16"/>
  <c r="F825" i="16" s="1"/>
  <c r="C872" i="16"/>
  <c r="C877" i="16"/>
  <c r="B931" i="16"/>
  <c r="F931" i="16" s="1"/>
  <c r="C952" i="16"/>
  <c r="B986" i="16"/>
  <c r="C1119" i="16"/>
  <c r="F1151" i="16"/>
  <c r="F1150" i="16"/>
  <c r="B1176" i="16"/>
  <c r="F1176" i="16" s="1"/>
  <c r="C1250" i="16"/>
  <c r="B1264" i="16"/>
  <c r="F1264" i="16" s="1"/>
  <c r="B1284" i="16"/>
  <c r="C1333" i="16"/>
  <c r="B1333" i="16"/>
  <c r="B1348" i="16"/>
  <c r="F1348" i="16" s="1"/>
  <c r="B1375" i="16"/>
  <c r="F872" i="16"/>
  <c r="C969" i="16"/>
  <c r="B969" i="16"/>
  <c r="C980" i="16"/>
  <c r="B980" i="16"/>
  <c r="C998" i="16"/>
  <c r="B998" i="16"/>
  <c r="C1033" i="16"/>
  <c r="B1033" i="16"/>
  <c r="C1057" i="16"/>
  <c r="B1057" i="16"/>
  <c r="C1189" i="16"/>
  <c r="B1189" i="16"/>
  <c r="C1309" i="16"/>
  <c r="B1309" i="16"/>
  <c r="F1309" i="16" s="1"/>
  <c r="F1341" i="16"/>
  <c r="B1397" i="16"/>
  <c r="C1397" i="16"/>
  <c r="B589" i="16"/>
  <c r="C752" i="16"/>
  <c r="C761" i="16"/>
  <c r="C816" i="16"/>
  <c r="C821" i="16"/>
  <c r="B849" i="16"/>
  <c r="F849" i="16" s="1"/>
  <c r="C896" i="16"/>
  <c r="B937" i="16"/>
  <c r="B987" i="16"/>
  <c r="B992" i="16"/>
  <c r="F992" i="16" s="1"/>
  <c r="C1004" i="16"/>
  <c r="B1046" i="16"/>
  <c r="C1100" i="16"/>
  <c r="B1100" i="16"/>
  <c r="F1100" i="16" s="1"/>
  <c r="B1132" i="16"/>
  <c r="F1132" i="16" s="1"/>
  <c r="B1164" i="16"/>
  <c r="F1164" i="16" s="1"/>
  <c r="F1237" i="16"/>
  <c r="C1293" i="16"/>
  <c r="B1293" i="16"/>
  <c r="B1318" i="16"/>
  <c r="C1318" i="16"/>
  <c r="C1542" i="16"/>
  <c r="C949" i="16"/>
  <c r="C1029" i="16"/>
  <c r="C1245" i="16"/>
  <c r="C1447" i="16"/>
  <c r="B1447" i="16"/>
  <c r="B1562" i="16"/>
  <c r="F1562" i="16" s="1"/>
  <c r="C1013" i="16"/>
  <c r="C1093" i="16"/>
  <c r="C1213" i="16"/>
  <c r="C1339" i="16"/>
  <c r="B1349" i="16"/>
  <c r="C1354" i="16"/>
  <c r="C1359" i="16"/>
  <c r="C1381" i="16"/>
  <c r="B1381" i="16"/>
  <c r="B1417" i="16"/>
  <c r="C1417" i="16"/>
  <c r="C1461" i="16"/>
  <c r="C1468" i="16"/>
  <c r="B1468" i="16"/>
  <c r="C1476" i="16"/>
  <c r="B1476" i="16"/>
  <c r="F1543" i="16"/>
  <c r="C1578" i="16"/>
  <c r="B1584" i="16"/>
  <c r="F1584" i="16" s="1"/>
  <c r="B1429" i="16"/>
  <c r="C1429" i="16"/>
  <c r="B1018" i="16"/>
  <c r="B1039" i="16"/>
  <c r="B1060" i="16"/>
  <c r="B1098" i="16"/>
  <c r="B1138" i="16"/>
  <c r="B1178" i="16"/>
  <c r="C1223" i="16"/>
  <c r="B1228" i="16"/>
  <c r="F1228" i="16" s="1"/>
  <c r="B1242" i="16"/>
  <c r="F1243" i="16" s="1"/>
  <c r="F1251" i="16"/>
  <c r="C1382" i="16"/>
  <c r="C1405" i="16"/>
  <c r="B1405" i="16"/>
  <c r="F1406" i="16" s="1"/>
  <c r="C1418" i="16"/>
  <c r="B1449" i="16"/>
  <c r="F1449" i="16" s="1"/>
  <c r="C1449" i="16"/>
  <c r="B1723" i="16"/>
  <c r="C921" i="16"/>
  <c r="B997" i="16"/>
  <c r="C1001" i="16"/>
  <c r="C1081" i="16"/>
  <c r="C1107" i="16"/>
  <c r="C1129" i="16"/>
  <c r="C1147" i="16"/>
  <c r="B1156" i="16"/>
  <c r="F1156" i="16" s="1"/>
  <c r="C1169" i="16"/>
  <c r="C1187" i="16"/>
  <c r="B1196" i="16"/>
  <c r="F1196" i="16" s="1"/>
  <c r="C1209" i="16"/>
  <c r="B1214" i="16"/>
  <c r="F1214" i="16" s="1"/>
  <c r="C1275" i="16"/>
  <c r="B1280" i="16"/>
  <c r="B1300" i="16"/>
  <c r="B1320" i="16"/>
  <c r="C1437" i="16"/>
  <c r="C1462" i="16"/>
  <c r="B1477" i="16"/>
  <c r="F1499" i="16"/>
  <c r="C1537" i="16"/>
  <c r="F1593" i="16"/>
  <c r="F1594" i="16"/>
  <c r="C1615" i="16"/>
  <c r="B1615" i="16"/>
  <c r="F1615" i="16" s="1"/>
  <c r="C1077" i="16"/>
  <c r="B1165" i="16"/>
  <c r="B1205" i="16"/>
  <c r="B1233" i="16"/>
  <c r="C1247" i="16"/>
  <c r="C1261" i="16"/>
  <c r="B1285" i="16"/>
  <c r="C1290" i="16"/>
  <c r="C1295" i="16"/>
  <c r="B1305" i="16"/>
  <c r="C1310" i="16"/>
  <c r="C1315" i="16"/>
  <c r="B1388" i="16"/>
  <c r="F1388" i="16" s="1"/>
  <c r="C1388" i="16"/>
  <c r="C1470" i="16"/>
  <c r="B1470" i="16"/>
  <c r="F1470" i="16" s="1"/>
  <c r="C1492" i="16"/>
  <c r="B1492" i="16"/>
  <c r="C1552" i="16"/>
  <c r="B1552" i="16"/>
  <c r="C1345" i="16"/>
  <c r="F1355" i="16"/>
  <c r="B1383" i="16"/>
  <c r="F1383" i="16" s="1"/>
  <c r="F1394" i="16"/>
  <c r="B1419" i="16"/>
  <c r="F1419" i="16" s="1"/>
  <c r="C1485" i="16"/>
  <c r="B1507" i="16"/>
  <c r="F1507" i="16" s="1"/>
  <c r="B1573" i="16"/>
  <c r="B1616" i="16"/>
  <c r="F1617" i="16" s="1"/>
  <c r="C1616" i="16"/>
  <c r="B905" i="16"/>
  <c r="F905" i="16" s="1"/>
  <c r="C909" i="16"/>
  <c r="B985" i="16"/>
  <c r="F985" i="16" s="1"/>
  <c r="C989" i="16"/>
  <c r="B1065" i="16"/>
  <c r="F1065" i="16" s="1"/>
  <c r="C1069" i="16"/>
  <c r="B1121" i="16"/>
  <c r="F1121" i="16" s="1"/>
  <c r="B1161" i="16"/>
  <c r="F1161" i="16" s="1"/>
  <c r="B1201" i="16"/>
  <c r="C1443" i="16"/>
  <c r="B1443" i="16"/>
  <c r="C1601" i="16"/>
  <c r="B1601" i="16"/>
  <c r="B1108" i="16"/>
  <c r="F1108" i="16" s="1"/>
  <c r="B1148" i="16"/>
  <c r="F1148" i="16" s="1"/>
  <c r="B1188" i="16"/>
  <c r="F1188" i="16" s="1"/>
  <c r="B1248" i="16"/>
  <c r="F1248" i="16" s="1"/>
  <c r="B1262" i="16"/>
  <c r="F1262" i="16" s="1"/>
  <c r="B1296" i="16"/>
  <c r="F1296" i="16" s="1"/>
  <c r="B1316" i="16"/>
  <c r="F1316" i="16" s="1"/>
  <c r="B1336" i="16"/>
  <c r="B1401" i="16"/>
  <c r="F1401" i="16" s="1"/>
  <c r="C1451" i="16"/>
  <c r="B1451" i="16"/>
  <c r="C1463" i="16"/>
  <c r="B1463" i="16"/>
  <c r="F1463" i="16" s="1"/>
  <c r="B1493" i="16"/>
  <c r="C1493" i="16"/>
  <c r="C901" i="16"/>
  <c r="C981" i="16"/>
  <c r="C1061" i="16"/>
  <c r="B1117" i="16"/>
  <c r="B1157" i="16"/>
  <c r="B1197" i="16"/>
  <c r="C1215" i="16"/>
  <c r="C1229" i="16"/>
  <c r="B1281" i="16"/>
  <c r="C1286" i="16"/>
  <c r="C1291" i="16"/>
  <c r="B1301" i="16"/>
  <c r="C1306" i="16"/>
  <c r="C1311" i="16"/>
  <c r="B1321" i="16"/>
  <c r="C1326" i="16"/>
  <c r="C1331" i="16"/>
  <c r="C1346" i="16"/>
  <c r="C1351" i="16"/>
  <c r="F1377" i="16"/>
  <c r="C1389" i="16"/>
  <c r="B1407" i="16"/>
  <c r="B1501" i="16"/>
  <c r="C1501" i="16"/>
  <c r="F1538" i="16"/>
  <c r="B1602" i="16"/>
  <c r="C1602" i="16"/>
  <c r="F1291" i="16"/>
  <c r="F1311" i="16"/>
  <c r="C1341" i="16"/>
  <c r="C1361" i="16"/>
  <c r="C1372" i="16"/>
  <c r="C1384" i="16"/>
  <c r="B1432" i="16"/>
  <c r="C1432" i="16"/>
  <c r="C1452" i="16"/>
  <c r="F1479" i="16"/>
  <c r="B1781" i="16"/>
  <c r="C1781" i="16"/>
  <c r="C973" i="16"/>
  <c r="B1049" i="16"/>
  <c r="F1049" i="16" s="1"/>
  <c r="C1053" i="16"/>
  <c r="B1113" i="16"/>
  <c r="F1114" i="16" s="1"/>
  <c r="B1153" i="16"/>
  <c r="B1193" i="16"/>
  <c r="B1202" i="16"/>
  <c r="B1244" i="16"/>
  <c r="F1244" i="16" s="1"/>
  <c r="B1258" i="16"/>
  <c r="F1267" i="16"/>
  <c r="F1276" i="16"/>
  <c r="B1420" i="16"/>
  <c r="C1472" i="16"/>
  <c r="B1472" i="16"/>
  <c r="C1517" i="16"/>
  <c r="C1532" i="16"/>
  <c r="B1532" i="16"/>
  <c r="B1547" i="16"/>
  <c r="C1211" i="16"/>
  <c r="B1216" i="16"/>
  <c r="F1216" i="16" s="1"/>
  <c r="C1225" i="16"/>
  <c r="B1230" i="16"/>
  <c r="F1230" i="16" s="1"/>
  <c r="F1239" i="16"/>
  <c r="B1292" i="16"/>
  <c r="F1292" i="16" s="1"/>
  <c r="B1312" i="16"/>
  <c r="F1312" i="16" s="1"/>
  <c r="B1332" i="16"/>
  <c r="F1332" i="16" s="1"/>
  <c r="B1367" i="16"/>
  <c r="C1396" i="16"/>
  <c r="B1433" i="16"/>
  <c r="C1433" i="16"/>
  <c r="B1439" i="16"/>
  <c r="C1465" i="16"/>
  <c r="B1487" i="16"/>
  <c r="F1487" i="16" s="1"/>
  <c r="C1667" i="16"/>
  <c r="B1667" i="16"/>
  <c r="C1045" i="16"/>
  <c r="B1249" i="16"/>
  <c r="F1250" i="16" s="1"/>
  <c r="C1263" i="16"/>
  <c r="C1277" i="16"/>
  <c r="C1282" i="16"/>
  <c r="C1287" i="16"/>
  <c r="B1297" i="16"/>
  <c r="C1302" i="16"/>
  <c r="C1307" i="16"/>
  <c r="B1317" i="16"/>
  <c r="C1322" i="16"/>
  <c r="C1327" i="16"/>
  <c r="B1337" i="16"/>
  <c r="C1373" i="16"/>
  <c r="B1373" i="16"/>
  <c r="C1414" i="16"/>
  <c r="B1414" i="16"/>
  <c r="C1495" i="16"/>
  <c r="B1495" i="16"/>
  <c r="B1652" i="16"/>
  <c r="C1652" i="16"/>
  <c r="C1357" i="16"/>
  <c r="C1379" i="16"/>
  <c r="B1379" i="16"/>
  <c r="B1391" i="16"/>
  <c r="F1391" i="16" s="1"/>
  <c r="B1473" i="16"/>
  <c r="C1473" i="16"/>
  <c r="C957" i="16"/>
  <c r="C1037" i="16"/>
  <c r="C1221" i="16"/>
  <c r="F1235" i="16"/>
  <c r="B1368" i="16"/>
  <c r="C1368" i="16"/>
  <c r="B1453" i="16"/>
  <c r="F1453" i="16" s="1"/>
  <c r="B1481" i="16"/>
  <c r="C1481" i="16"/>
  <c r="C1488" i="16"/>
  <c r="B1488" i="16"/>
  <c r="F1489" i="16" s="1"/>
  <c r="C1496" i="16"/>
  <c r="B1496" i="16"/>
  <c r="F1503" i="16"/>
  <c r="C1775" i="16"/>
  <c r="B1775" i="16"/>
  <c r="C1551" i="16"/>
  <c r="B1572" i="16"/>
  <c r="F1572" i="16" s="1"/>
  <c r="C1572" i="16"/>
  <c r="C1589" i="16"/>
  <c r="C1600" i="16"/>
  <c r="B1636" i="16"/>
  <c r="C1636" i="16"/>
  <c r="C1687" i="16"/>
  <c r="B1687" i="16"/>
  <c r="C1888" i="16"/>
  <c r="B1888" i="16"/>
  <c r="B1424" i="16"/>
  <c r="B1457" i="16"/>
  <c r="F1457" i="16" s="1"/>
  <c r="B1644" i="16"/>
  <c r="F1644" i="16" s="1"/>
  <c r="C1644" i="16"/>
  <c r="C1651" i="16"/>
  <c r="B1651" i="16"/>
  <c r="B1722" i="16"/>
  <c r="C1722" i="16"/>
  <c r="F1766" i="16"/>
  <c r="B1380" i="16"/>
  <c r="C1411" i="16"/>
  <c r="B1444" i="16"/>
  <c r="C1513" i="16"/>
  <c r="C1533" i="16"/>
  <c r="C1553" i="16"/>
  <c r="C1558" i="16"/>
  <c r="C1574" i="16"/>
  <c r="B1591" i="16"/>
  <c r="F1591" i="16" s="1"/>
  <c r="F1653" i="16"/>
  <c r="F1682" i="16"/>
  <c r="C1820" i="16"/>
  <c r="B1820" i="16"/>
  <c r="F1821" i="16" s="1"/>
  <c r="C2142" i="16"/>
  <c r="B2142" i="16"/>
  <c r="F2142" i="16" s="1"/>
  <c r="C1508" i="16"/>
  <c r="B1508" i="16"/>
  <c r="C1528" i="16"/>
  <c r="B1528" i="16"/>
  <c r="C1548" i="16"/>
  <c r="B1548" i="16"/>
  <c r="F1558" i="16"/>
  <c r="C1563" i="16"/>
  <c r="B1563" i="16"/>
  <c r="C1617" i="16"/>
  <c r="B1624" i="16"/>
  <c r="F1625" i="16" s="1"/>
  <c r="C1624" i="16"/>
  <c r="C1631" i="16"/>
  <c r="B1631" i="16"/>
  <c r="F1631" i="16" s="1"/>
  <c r="F1646" i="16"/>
  <c r="C1754" i="16"/>
  <c r="C2045" i="16"/>
  <c r="C1639" i="16"/>
  <c r="B1639" i="16"/>
  <c r="F1639" i="16" s="1"/>
  <c r="F1683" i="16"/>
  <c r="F1703" i="16"/>
  <c r="B1792" i="16"/>
  <c r="B1440" i="16"/>
  <c r="B1575" i="16"/>
  <c r="B1632" i="16"/>
  <c r="C1632" i="16"/>
  <c r="C1647" i="16"/>
  <c r="B1647" i="16"/>
  <c r="F1647" i="16" s="1"/>
  <c r="B1372" i="16"/>
  <c r="F1372" i="16" s="1"/>
  <c r="C1403" i="16"/>
  <c r="B1412" i="16"/>
  <c r="F1412" i="16" s="1"/>
  <c r="B1431" i="16"/>
  <c r="B1445" i="16"/>
  <c r="C1459" i="16"/>
  <c r="C1464" i="16"/>
  <c r="C1469" i="16"/>
  <c r="C1489" i="16"/>
  <c r="C1509" i="16"/>
  <c r="C1529" i="16"/>
  <c r="C1549" i="16"/>
  <c r="B1564" i="16"/>
  <c r="F1565" i="16" s="1"/>
  <c r="B1580" i="16"/>
  <c r="B1662" i="16"/>
  <c r="F1662" i="16" s="1"/>
  <c r="C1697" i="16"/>
  <c r="B1770" i="16"/>
  <c r="C1484" i="16"/>
  <c r="B1484" i="16"/>
  <c r="C1504" i="16"/>
  <c r="B1504" i="16"/>
  <c r="F1504" i="16" s="1"/>
  <c r="C1524" i="16"/>
  <c r="B1524" i="16"/>
  <c r="F1524" i="16" s="1"/>
  <c r="C1544" i="16"/>
  <c r="B1544" i="16"/>
  <c r="F1544" i="16" s="1"/>
  <c r="B1604" i="16"/>
  <c r="F1604" i="16" s="1"/>
  <c r="C1604" i="16"/>
  <c r="C1611" i="16"/>
  <c r="B1611" i="16"/>
  <c r="F1684" i="16"/>
  <c r="F1704" i="16"/>
  <c r="B1814" i="16"/>
  <c r="F1814" i="16" s="1"/>
  <c r="C1814" i="16"/>
  <c r="B1846" i="16"/>
  <c r="C1846" i="16"/>
  <c r="C1499" i="16"/>
  <c r="C1519" i="16"/>
  <c r="C1539" i="16"/>
  <c r="C1565" i="16"/>
  <c r="F1618" i="16"/>
  <c r="C1626" i="16"/>
  <c r="B1633" i="16"/>
  <c r="C1641" i="16"/>
  <c r="B1446" i="16"/>
  <c r="F1559" i="16"/>
  <c r="B1612" i="16"/>
  <c r="C1612" i="16"/>
  <c r="B1712" i="16"/>
  <c r="C1712" i="16"/>
  <c r="B1786" i="16"/>
  <c r="C1786" i="16"/>
  <c r="C1952" i="16"/>
  <c r="B1952" i="16"/>
  <c r="F1952" i="16" s="1"/>
  <c r="C1395" i="16"/>
  <c r="B1404" i="16"/>
  <c r="F1404" i="16" s="1"/>
  <c r="B1413" i="16"/>
  <c r="C1427" i="16"/>
  <c r="B1460" i="16"/>
  <c r="F1460" i="16" s="1"/>
  <c r="B1510" i="16"/>
  <c r="B1530" i="16"/>
  <c r="F1530" i="16" s="1"/>
  <c r="C1587" i="16"/>
  <c r="B1587" i="16"/>
  <c r="C1619" i="16"/>
  <c r="B1619" i="16"/>
  <c r="F1619" i="16" s="1"/>
  <c r="B1656" i="16"/>
  <c r="F1657" i="16" s="1"/>
  <c r="C1656" i="16"/>
  <c r="B1749" i="16"/>
  <c r="F1749" i="16" s="1"/>
  <c r="F1840" i="16"/>
  <c r="B1465" i="16"/>
  <c r="F1465" i="16" s="1"/>
  <c r="C1480" i="16"/>
  <c r="B1480" i="16"/>
  <c r="B1485" i="16"/>
  <c r="C1500" i="16"/>
  <c r="B1500" i="16"/>
  <c r="F1500" i="16" s="1"/>
  <c r="B1505" i="16"/>
  <c r="B1515" i="16"/>
  <c r="F1515" i="16" s="1"/>
  <c r="C1520" i="16"/>
  <c r="B1520" i="16"/>
  <c r="F1520" i="16" s="1"/>
  <c r="B1525" i="16"/>
  <c r="B1535" i="16"/>
  <c r="C1540" i="16"/>
  <c r="B1540" i="16"/>
  <c r="B1545" i="16"/>
  <c r="B1555" i="16"/>
  <c r="C1566" i="16"/>
  <c r="C1582" i="16"/>
  <c r="B1598" i="16"/>
  <c r="C1627" i="16"/>
  <c r="B1627" i="16"/>
  <c r="F1627" i="16" s="1"/>
  <c r="C1642" i="16"/>
  <c r="B1692" i="16"/>
  <c r="C1692" i="16"/>
  <c r="C1728" i="16"/>
  <c r="B1728" i="16"/>
  <c r="C1808" i="16"/>
  <c r="B1588" i="16"/>
  <c r="C1588" i="16"/>
  <c r="B1620" i="16"/>
  <c r="F1621" i="16" s="1"/>
  <c r="C1620" i="16"/>
  <c r="C1671" i="16"/>
  <c r="B1671" i="16"/>
  <c r="C1423" i="16"/>
  <c r="F1606" i="16"/>
  <c r="C1387" i="16"/>
  <c r="B1396" i="16"/>
  <c r="B1428" i="16"/>
  <c r="B1461" i="16"/>
  <c r="F1461" i="16" s="1"/>
  <c r="C1521" i="16"/>
  <c r="B1526" i="16"/>
  <c r="B1546" i="16"/>
  <c r="C1635" i="16"/>
  <c r="B1635" i="16"/>
  <c r="F1635" i="16" s="1"/>
  <c r="F1643" i="16"/>
  <c r="B1672" i="16"/>
  <c r="C1672" i="16"/>
  <c r="C1516" i="16"/>
  <c r="B1516" i="16"/>
  <c r="B1531" i="16"/>
  <c r="C1536" i="16"/>
  <c r="B1536" i="16"/>
  <c r="B1541" i="16"/>
  <c r="B1551" i="16"/>
  <c r="C1556" i="16"/>
  <c r="B1556" i="16"/>
  <c r="F1557" i="16" s="1"/>
  <c r="C1607" i="16"/>
  <c r="B1607" i="16"/>
  <c r="F1607" i="16" s="1"/>
  <c r="B1628" i="16"/>
  <c r="C1707" i="16"/>
  <c r="B1707" i="16"/>
  <c r="B1902" i="16"/>
  <c r="C1852" i="16"/>
  <c r="B1852" i="16"/>
  <c r="F1852" i="16" s="1"/>
  <c r="C2155" i="16"/>
  <c r="B2155" i="16"/>
  <c r="B1570" i="16"/>
  <c r="F1570" i="16" s="1"/>
  <c r="B1738" i="16"/>
  <c r="C1738" i="16"/>
  <c r="C1825" i="16"/>
  <c r="B1866" i="16"/>
  <c r="F1866" i="16" s="1"/>
  <c r="C1901" i="16"/>
  <c r="B1901" i="16"/>
  <c r="C1638" i="16"/>
  <c r="C1643" i="16"/>
  <c r="B1648" i="16"/>
  <c r="F1648" i="16" s="1"/>
  <c r="C1658" i="16"/>
  <c r="C1663" i="16"/>
  <c r="B1668" i="16"/>
  <c r="C1678" i="16"/>
  <c r="C1683" i="16"/>
  <c r="B1688" i="16"/>
  <c r="C1698" i="16"/>
  <c r="C1703" i="16"/>
  <c r="B1708" i="16"/>
  <c r="B1729" i="16"/>
  <c r="C1734" i="16"/>
  <c r="C1755" i="16"/>
  <c r="B1809" i="16"/>
  <c r="C1815" i="16"/>
  <c r="B1815" i="16"/>
  <c r="C1833" i="16"/>
  <c r="C1875" i="16"/>
  <c r="B1953" i="16"/>
  <c r="B1983" i="16"/>
  <c r="F1658" i="16"/>
  <c r="F1678" i="16"/>
  <c r="F1698" i="16"/>
  <c r="B1718" i="16"/>
  <c r="F1718" i="16" s="1"/>
  <c r="C1821" i="16"/>
  <c r="F1854" i="16"/>
  <c r="C2031" i="16"/>
  <c r="B2332" i="16"/>
  <c r="F2332" i="16" s="1"/>
  <c r="C2332" i="16"/>
  <c r="C1724" i="16"/>
  <c r="B1724" i="16"/>
  <c r="B1777" i="16"/>
  <c r="F1777" i="16" s="1"/>
  <c r="F1869" i="16"/>
  <c r="C1599" i="16"/>
  <c r="B1659" i="16"/>
  <c r="F1659" i="16" s="1"/>
  <c r="C1664" i="16"/>
  <c r="B1679" i="16"/>
  <c r="F1679" i="16" s="1"/>
  <c r="C1684" i="16"/>
  <c r="B1699" i="16"/>
  <c r="C1704" i="16"/>
  <c r="B1719" i="16"/>
  <c r="B1735" i="16"/>
  <c r="C1740" i="16"/>
  <c r="C1855" i="16"/>
  <c r="B1855" i="16"/>
  <c r="B1783" i="16"/>
  <c r="F1784" i="16" s="1"/>
  <c r="B1794" i="16"/>
  <c r="C1794" i="16"/>
  <c r="B1828" i="16"/>
  <c r="F1829" i="16" s="1"/>
  <c r="F1884" i="16"/>
  <c r="B1654" i="16"/>
  <c r="B1674" i="16"/>
  <c r="F1674" i="16" s="1"/>
  <c r="B1694" i="16"/>
  <c r="B1714" i="16"/>
  <c r="F1714" i="16" s="1"/>
  <c r="B1725" i="16"/>
  <c r="F1726" i="16" s="1"/>
  <c r="B1751" i="16"/>
  <c r="C1762" i="16"/>
  <c r="B1767" i="16"/>
  <c r="F1767" i="16" s="1"/>
  <c r="C1822" i="16"/>
  <c r="B1835" i="16"/>
  <c r="F1862" i="16"/>
  <c r="C1932" i="16"/>
  <c r="B1932" i="16"/>
  <c r="B1568" i="16"/>
  <c r="F1568" i="16" s="1"/>
  <c r="C1595" i="16"/>
  <c r="B1730" i="16"/>
  <c r="C1778" i="16"/>
  <c r="B1800" i="16"/>
  <c r="F1800" i="16" s="1"/>
  <c r="F1822" i="16"/>
  <c r="C1829" i="16"/>
  <c r="B1897" i="16"/>
  <c r="B1911" i="16"/>
  <c r="B1970" i="16"/>
  <c r="F1970" i="16" s="1"/>
  <c r="B1586" i="16"/>
  <c r="F1586" i="16" s="1"/>
  <c r="B1600" i="16"/>
  <c r="C1640" i="16"/>
  <c r="B1655" i="16"/>
  <c r="C1660" i="16"/>
  <c r="B1675" i="16"/>
  <c r="F1676" i="16" s="1"/>
  <c r="C1720" i="16"/>
  <c r="B1720" i="16"/>
  <c r="F1720" i="16" s="1"/>
  <c r="C1736" i="16"/>
  <c r="B1736" i="16"/>
  <c r="B1746" i="16"/>
  <c r="C1746" i="16"/>
  <c r="C1757" i="16"/>
  <c r="B1757" i="16"/>
  <c r="C1795" i="16"/>
  <c r="B1795" i="16"/>
  <c r="C1811" i="16"/>
  <c r="B1811" i="16"/>
  <c r="F1811" i="16" s="1"/>
  <c r="C1842" i="16"/>
  <c r="B1926" i="16"/>
  <c r="B1947" i="16"/>
  <c r="F1947" i="16" s="1"/>
  <c r="B1817" i="16"/>
  <c r="C1912" i="16"/>
  <c r="B1912" i="16"/>
  <c r="F1630" i="16"/>
  <c r="B1670" i="16"/>
  <c r="B1690" i="16"/>
  <c r="B1710" i="16"/>
  <c r="C1731" i="16"/>
  <c r="B1773" i="16"/>
  <c r="F1773" i="16" s="1"/>
  <c r="C1790" i="16"/>
  <c r="B1843" i="16"/>
  <c r="F1844" i="16" s="1"/>
  <c r="B1560" i="16"/>
  <c r="B1596" i="16"/>
  <c r="C1726" i="16"/>
  <c r="B1752" i="16"/>
  <c r="C1758" i="16"/>
  <c r="B1763" i="16"/>
  <c r="F1763" i="16" s="1"/>
  <c r="B1768" i="16"/>
  <c r="C1812" i="16"/>
  <c r="B1812" i="16"/>
  <c r="B1830" i="16"/>
  <c r="F1830" i="16" s="1"/>
  <c r="C1837" i="16"/>
  <c r="B1837" i="16"/>
  <c r="C1857" i="16"/>
  <c r="B1906" i="16"/>
  <c r="F1906" i="16" s="1"/>
  <c r="B1578" i="16"/>
  <c r="C1676" i="16"/>
  <c r="B1691" i="16"/>
  <c r="C1696" i="16"/>
  <c r="B1711" i="16"/>
  <c r="B1774" i="16"/>
  <c r="C1774" i="16"/>
  <c r="F1858" i="16"/>
  <c r="F1857" i="16"/>
  <c r="C1965" i="16"/>
  <c r="C1732" i="16"/>
  <c r="B1732" i="16"/>
  <c r="B1764" i="16"/>
  <c r="F1765" i="16" s="1"/>
  <c r="B1769" i="16"/>
  <c r="C1785" i="16"/>
  <c r="B1785" i="16"/>
  <c r="F1785" i="16" s="1"/>
  <c r="B2192" i="16"/>
  <c r="C2192" i="16"/>
  <c r="B1666" i="16"/>
  <c r="B1686" i="16"/>
  <c r="B1706" i="16"/>
  <c r="F1706" i="16" s="1"/>
  <c r="B1727" i="16"/>
  <c r="F1727" i="16" s="1"/>
  <c r="B1743" i="16"/>
  <c r="B1753" i="16"/>
  <c r="B1759" i="16"/>
  <c r="F1759" i="16" s="1"/>
  <c r="B1780" i="16"/>
  <c r="F1780" i="16" s="1"/>
  <c r="B1791" i="16"/>
  <c r="F1791" i="16" s="1"/>
  <c r="B1802" i="16"/>
  <c r="F1802" i="16" s="1"/>
  <c r="C1802" i="16"/>
  <c r="F1865" i="16"/>
  <c r="F1872" i="16"/>
  <c r="F1881" i="16"/>
  <c r="B2162" i="16"/>
  <c r="C2162" i="16"/>
  <c r="C1839" i="16"/>
  <c r="B1870" i="16"/>
  <c r="F1870" i="16" s="1"/>
  <c r="C1879" i="16"/>
  <c r="C2071" i="16"/>
  <c r="B2071" i="16"/>
  <c r="C2149" i="16"/>
  <c r="B2149" i="16"/>
  <c r="F2149" i="16" s="1"/>
  <c r="C2276" i="16"/>
  <c r="B2276" i="16"/>
  <c r="F2347" i="16"/>
  <c r="C2353" i="16"/>
  <c r="B2353" i="16"/>
  <c r="F2353" i="16" s="1"/>
  <c r="B2326" i="16"/>
  <c r="C2326" i="16"/>
  <c r="C2950" i="16"/>
  <c r="B2950" i="16"/>
  <c r="B1750" i="16"/>
  <c r="C1818" i="16"/>
  <c r="B1827" i="16"/>
  <c r="F1827" i="16" s="1"/>
  <c r="B1836" i="16"/>
  <c r="C1858" i="16"/>
  <c r="B1867" i="16"/>
  <c r="B1876" i="16"/>
  <c r="F1876" i="16" s="1"/>
  <c r="B1948" i="16"/>
  <c r="B1960" i="16"/>
  <c r="F2046" i="16"/>
  <c r="C2179" i="16"/>
  <c r="B2313" i="16"/>
  <c r="F2313" i="16" s="1"/>
  <c r="C2327" i="16"/>
  <c r="B1845" i="16"/>
  <c r="F1845" i="16" s="1"/>
  <c r="B1885" i="16"/>
  <c r="F1885" i="16" s="1"/>
  <c r="B1918" i="16"/>
  <c r="C1955" i="16"/>
  <c r="B1955" i="16"/>
  <c r="F1966" i="16"/>
  <c r="F2059" i="16"/>
  <c r="C2108" i="16"/>
  <c r="B2108" i="16"/>
  <c r="C2187" i="16"/>
  <c r="B2187" i="16"/>
  <c r="C2457" i="16"/>
  <c r="B2457" i="16"/>
  <c r="F2457" i="16" s="1"/>
  <c r="B1742" i="16"/>
  <c r="B1823" i="16"/>
  <c r="F1823" i="16" s="1"/>
  <c r="C1854" i="16"/>
  <c r="B1863" i="16"/>
  <c r="F1863" i="16" s="1"/>
  <c r="B1908" i="16"/>
  <c r="F1908" i="16" s="1"/>
  <c r="C1913" i="16"/>
  <c r="B1992" i="16"/>
  <c r="F1992" i="16" s="1"/>
  <c r="B2005" i="16"/>
  <c r="F2005" i="16" s="1"/>
  <c r="B2040" i="16"/>
  <c r="C2299" i="16"/>
  <c r="B2299" i="16"/>
  <c r="F2300" i="16" s="1"/>
  <c r="C1810" i="16"/>
  <c r="B1819" i="16"/>
  <c r="F1819" i="16" s="1"/>
  <c r="C1850" i="16"/>
  <c r="B1859" i="16"/>
  <c r="F1859" i="16" s="1"/>
  <c r="C1890" i="16"/>
  <c r="B1934" i="16"/>
  <c r="B1939" i="16"/>
  <c r="B1956" i="16"/>
  <c r="C1961" i="16"/>
  <c r="C2013" i="16"/>
  <c r="B2054" i="16"/>
  <c r="B2067" i="16"/>
  <c r="F2067" i="16" s="1"/>
  <c r="C2081" i="16"/>
  <c r="B2137" i="16"/>
  <c r="C2229" i="16"/>
  <c r="B2229" i="16"/>
  <c r="F2229" i="16" s="1"/>
  <c r="B1877" i="16"/>
  <c r="F1877" i="16" s="1"/>
  <c r="C1899" i="16"/>
  <c r="B1914" i="16"/>
  <c r="B2027" i="16"/>
  <c r="F2027" i="16" s="1"/>
  <c r="C2167" i="16"/>
  <c r="B2230" i="16"/>
  <c r="C2389" i="16"/>
  <c r="B2389" i="16"/>
  <c r="F2389" i="16" s="1"/>
  <c r="C2423" i="16"/>
  <c r="B1806" i="16"/>
  <c r="F1806" i="16" s="1"/>
  <c r="C1886" i="16"/>
  <c r="B1904" i="16"/>
  <c r="F1904" i="16" s="1"/>
  <c r="C1909" i="16"/>
  <c r="B1929" i="16"/>
  <c r="F1929" i="16" s="1"/>
  <c r="F1967" i="16"/>
  <c r="B2000" i="16"/>
  <c r="B2103" i="16"/>
  <c r="F2104" i="16" s="1"/>
  <c r="C1924" i="16"/>
  <c r="B1924" i="16"/>
  <c r="C1950" i="16"/>
  <c r="B1950" i="16"/>
  <c r="F2169" i="16"/>
  <c r="B1798" i="16"/>
  <c r="F1798" i="16" s="1"/>
  <c r="B1860" i="16"/>
  <c r="F1861" i="16" s="1"/>
  <c r="B1900" i="16"/>
  <c r="F1900" i="16" s="1"/>
  <c r="B1935" i="16"/>
  <c r="F1936" i="16" s="1"/>
  <c r="B1957" i="16"/>
  <c r="C1957" i="16"/>
  <c r="B2049" i="16"/>
  <c r="B2379" i="16"/>
  <c r="B1842" i="16"/>
  <c r="C1851" i="16"/>
  <c r="B1882" i="16"/>
  <c r="C1891" i="16"/>
  <c r="B1915" i="16"/>
  <c r="C1930" i="16"/>
  <c r="C1940" i="16"/>
  <c r="B1940" i="16"/>
  <c r="C1951" i="16"/>
  <c r="C1995" i="16"/>
  <c r="C2062" i="16"/>
  <c r="B2062" i="16"/>
  <c r="C2096" i="16"/>
  <c r="C2125" i="16"/>
  <c r="B2217" i="16"/>
  <c r="F2218" i="16" s="1"/>
  <c r="B2281" i="16"/>
  <c r="F2282" i="16" s="1"/>
  <c r="B2294" i="16"/>
  <c r="F1975" i="16"/>
  <c r="C2022" i="16"/>
  <c r="B2022" i="16"/>
  <c r="C2204" i="16"/>
  <c r="B2204" i="16"/>
  <c r="C1963" i="16"/>
  <c r="B1963" i="16"/>
  <c r="C1982" i="16"/>
  <c r="B1982" i="16"/>
  <c r="F1982" i="16" s="1"/>
  <c r="C2154" i="16"/>
  <c r="B2154" i="16"/>
  <c r="B1782" i="16"/>
  <c r="B1892" i="16"/>
  <c r="F1892" i="16" s="1"/>
  <c r="F2043" i="16"/>
  <c r="C2268" i="16"/>
  <c r="B2268" i="16"/>
  <c r="C2352" i="16"/>
  <c r="B1778" i="16"/>
  <c r="B1834" i="16"/>
  <c r="F1834" i="16" s="1"/>
  <c r="C1843" i="16"/>
  <c r="B1874" i="16"/>
  <c r="F1875" i="16" s="1"/>
  <c r="C1883" i="16"/>
  <c r="B1916" i="16"/>
  <c r="C1964" i="16"/>
  <c r="F1977" i="16"/>
  <c r="F1976" i="16"/>
  <c r="C1996" i="16"/>
  <c r="F2077" i="16"/>
  <c r="F2082" i="16"/>
  <c r="C2098" i="16"/>
  <c r="B2098" i="16"/>
  <c r="C2250" i="16"/>
  <c r="B2250" i="16"/>
  <c r="F2250" i="16" s="1"/>
  <c r="C2307" i="16"/>
  <c r="B2307" i="16"/>
  <c r="C2430" i="16"/>
  <c r="B2430" i="16"/>
  <c r="C1944" i="16"/>
  <c r="B1988" i="16"/>
  <c r="F1988" i="16" s="1"/>
  <c r="C1997" i="16"/>
  <c r="B2028" i="16"/>
  <c r="C2037" i="16"/>
  <c r="B2068" i="16"/>
  <c r="F2093" i="16"/>
  <c r="C2099" i="16"/>
  <c r="B2138" i="16"/>
  <c r="C2145" i="16"/>
  <c r="B2145" i="16"/>
  <c r="C2225" i="16"/>
  <c r="B2225" i="16"/>
  <c r="C2251" i="16"/>
  <c r="B2277" i="16"/>
  <c r="F2278" i="16" s="1"/>
  <c r="B2366" i="16"/>
  <c r="C2373" i="16"/>
  <c r="B2373" i="16"/>
  <c r="B2015" i="16"/>
  <c r="F2015" i="16" s="1"/>
  <c r="F2151" i="16"/>
  <c r="C2341" i="16"/>
  <c r="B2341" i="16"/>
  <c r="F2341" i="16" s="1"/>
  <c r="C2417" i="16"/>
  <c r="B2560" i="16"/>
  <c r="F2560" i="16" s="1"/>
  <c r="C2560" i="16"/>
  <c r="C2661" i="16"/>
  <c r="B2661" i="16"/>
  <c r="F2662" i="16" s="1"/>
  <c r="C1936" i="16"/>
  <c r="B1984" i="16"/>
  <c r="C1993" i="16"/>
  <c r="B2024" i="16"/>
  <c r="F2024" i="16" s="1"/>
  <c r="C2033" i="16"/>
  <c r="B2064" i="16"/>
  <c r="F2064" i="16" s="1"/>
  <c r="B2073" i="16"/>
  <c r="F2073" i="16" s="1"/>
  <c r="B2200" i="16"/>
  <c r="F2201" i="16" s="1"/>
  <c r="B2238" i="16"/>
  <c r="F2239" i="16" s="1"/>
  <c r="C2264" i="16"/>
  <c r="F2283" i="16"/>
  <c r="C2552" i="16"/>
  <c r="B2552" i="16"/>
  <c r="F2552" i="16" s="1"/>
  <c r="B2607" i="16"/>
  <c r="F2607" i="16" s="1"/>
  <c r="F1997" i="16"/>
  <c r="F2105" i="16"/>
  <c r="B2146" i="16"/>
  <c r="C2170" i="16"/>
  <c r="B2170" i="16"/>
  <c r="C1928" i="16"/>
  <c r="B1980" i="16"/>
  <c r="C1989" i="16"/>
  <c r="B2020" i="16"/>
  <c r="F2089" i="16"/>
  <c r="C2094" i="16"/>
  <c r="B2094" i="16"/>
  <c r="F2094" i="16" s="1"/>
  <c r="C2128" i="16"/>
  <c r="B2128" i="16"/>
  <c r="F2128" i="16" s="1"/>
  <c r="B2176" i="16"/>
  <c r="F2219" i="16"/>
  <c r="F2252" i="16"/>
  <c r="F2284" i="16"/>
  <c r="C2322" i="16"/>
  <c r="B2322" i="16"/>
  <c r="F2322" i="16" s="1"/>
  <c r="B2400" i="16"/>
  <c r="B2047" i="16"/>
  <c r="F2047" i="16" s="1"/>
  <c r="C2183" i="16"/>
  <c r="B2183" i="16"/>
  <c r="C2246" i="16"/>
  <c r="B2246" i="16"/>
  <c r="F2265" i="16"/>
  <c r="B1933" i="16"/>
  <c r="B1954" i="16"/>
  <c r="B1994" i="16"/>
  <c r="F1994" i="16" s="1"/>
  <c r="B2034" i="16"/>
  <c r="F2034" i="16" s="1"/>
  <c r="B2056" i="16"/>
  <c r="C2065" i="16"/>
  <c r="B2074" i="16"/>
  <c r="F2075" i="16" s="1"/>
  <c r="B2079" i="16"/>
  <c r="F2079" i="16" s="1"/>
  <c r="B2095" i="16"/>
  <c r="B2129" i="16"/>
  <c r="B2259" i="16"/>
  <c r="F2259" i="16" s="1"/>
  <c r="C2259" i="16"/>
  <c r="B2272" i="16"/>
  <c r="F2291" i="16"/>
  <c r="C2486" i="16"/>
  <c r="B2486" i="16"/>
  <c r="C1916" i="16"/>
  <c r="C1976" i="16"/>
  <c r="B1985" i="16"/>
  <c r="B2003" i="16"/>
  <c r="F2003" i="16" s="1"/>
  <c r="C2016" i="16"/>
  <c r="B2025" i="16"/>
  <c r="C2090" i="16"/>
  <c r="B2112" i="16"/>
  <c r="C2208" i="16"/>
  <c r="B2208" i="16"/>
  <c r="F2208" i="16" s="1"/>
  <c r="C2285" i="16"/>
  <c r="B2285" i="16"/>
  <c r="F2285" i="16" s="1"/>
  <c r="B2303" i="16"/>
  <c r="C2337" i="16"/>
  <c r="C2362" i="16"/>
  <c r="B1972" i="16"/>
  <c r="C1981" i="16"/>
  <c r="B1990" i="16"/>
  <c r="F1990" i="16" s="1"/>
  <c r="B2030" i="16"/>
  <c r="F2030" i="16" s="1"/>
  <c r="B2070" i="16"/>
  <c r="C2107" i="16"/>
  <c r="B2117" i="16"/>
  <c r="F2117" i="16" s="1"/>
  <c r="C2141" i="16"/>
  <c r="B2184" i="16"/>
  <c r="B2196" i="16"/>
  <c r="C2395" i="16"/>
  <c r="B2395" i="16"/>
  <c r="B2478" i="16"/>
  <c r="F2478" i="16" s="1"/>
  <c r="B2532" i="16"/>
  <c r="F2532" i="16" s="1"/>
  <c r="C2012" i="16"/>
  <c r="B2021" i="16"/>
  <c r="C2052" i="16"/>
  <c r="B2061" i="16"/>
  <c r="F2061" i="16" s="1"/>
  <c r="C2166" i="16"/>
  <c r="B2166" i="16"/>
  <c r="B2260" i="16"/>
  <c r="C2298" i="16"/>
  <c r="B2298" i="16"/>
  <c r="F2101" i="16"/>
  <c r="C2124" i="16"/>
  <c r="B2124" i="16"/>
  <c r="F2125" i="16" s="1"/>
  <c r="F2130" i="16"/>
  <c r="F2338" i="16"/>
  <c r="F2479" i="16"/>
  <c r="B1995" i="16"/>
  <c r="F1995" i="16" s="1"/>
  <c r="B2035" i="16"/>
  <c r="B2096" i="16"/>
  <c r="B2167" i="16"/>
  <c r="F2168" i="16" s="1"/>
  <c r="B1964" i="16"/>
  <c r="F1965" i="16" s="1"/>
  <c r="B2080" i="16"/>
  <c r="B2234" i="16"/>
  <c r="C2383" i="16"/>
  <c r="B2472" i="16"/>
  <c r="F2473" i="16" s="1"/>
  <c r="C2472" i="16"/>
  <c r="B1973" i="16"/>
  <c r="C2004" i="16"/>
  <c r="B2013" i="16"/>
  <c r="F2013" i="16" s="1"/>
  <c r="C2044" i="16"/>
  <c r="B2053" i="16"/>
  <c r="F2053" i="16" s="1"/>
  <c r="C2086" i="16"/>
  <c r="B2179" i="16"/>
  <c r="C2351" i="16"/>
  <c r="B2351" i="16"/>
  <c r="F2351" i="16" s="1"/>
  <c r="C2372" i="16"/>
  <c r="B2372" i="16"/>
  <c r="F2372" i="16" s="1"/>
  <c r="C2660" i="16"/>
  <c r="B2660" i="16"/>
  <c r="B2314" i="16"/>
  <c r="F2328" i="16"/>
  <c r="C2374" i="16"/>
  <c r="B2374" i="16"/>
  <c r="F2384" i="16"/>
  <c r="F2539" i="16"/>
  <c r="B2818" i="16"/>
  <c r="C2818" i="16"/>
  <c r="C2309" i="16"/>
  <c r="B2309" i="16"/>
  <c r="C2901" i="16"/>
  <c r="B2901" i="16"/>
  <c r="B2126" i="16"/>
  <c r="F2126" i="16" s="1"/>
  <c r="B2143" i="16"/>
  <c r="B2164" i="16"/>
  <c r="F2164" i="16" s="1"/>
  <c r="B2185" i="16"/>
  <c r="F2185" i="16" s="1"/>
  <c r="B2206" i="16"/>
  <c r="B2223" i="16"/>
  <c r="B2244" i="16"/>
  <c r="B2319" i="16"/>
  <c r="F2319" i="16" s="1"/>
  <c r="B2348" i="16"/>
  <c r="B2354" i="16"/>
  <c r="F2402" i="16"/>
  <c r="B2466" i="16"/>
  <c r="F2474" i="16"/>
  <c r="C2533" i="16"/>
  <c r="B2533" i="16"/>
  <c r="F2534" i="16" s="1"/>
  <c r="C2834" i="16"/>
  <c r="B2834" i="16"/>
  <c r="B2375" i="16"/>
  <c r="C2519" i="16"/>
  <c r="B2519" i="16"/>
  <c r="F2519" i="16" s="1"/>
  <c r="C2776" i="16"/>
  <c r="B2776" i="16"/>
  <c r="F2776" i="16" s="1"/>
  <c r="C2876" i="16"/>
  <c r="B2876" i="16"/>
  <c r="B2408" i="16"/>
  <c r="F2408" i="16" s="1"/>
  <c r="C2425" i="16"/>
  <c r="B2425" i="16"/>
  <c r="C2811" i="16"/>
  <c r="B2811" i="16"/>
  <c r="F2114" i="16"/>
  <c r="B2310" i="16"/>
  <c r="C2334" i="16"/>
  <c r="B2334" i="16"/>
  <c r="F2334" i="16" s="1"/>
  <c r="F2344" i="16"/>
  <c r="C2439" i="16"/>
  <c r="B2511" i="16"/>
  <c r="C2565" i="16"/>
  <c r="B2565" i="16"/>
  <c r="C2580" i="16"/>
  <c r="F2110" i="16"/>
  <c r="F2190" i="16"/>
  <c r="F2305" i="16"/>
  <c r="C2467" i="16"/>
  <c r="B2467" i="16"/>
  <c r="C2756" i="16"/>
  <c r="B2756" i="16"/>
  <c r="B2085" i="16"/>
  <c r="F2085" i="16" s="1"/>
  <c r="B2106" i="16"/>
  <c r="F2106" i="16" s="1"/>
  <c r="B2123" i="16"/>
  <c r="F2123" i="16" s="1"/>
  <c r="B2144" i="16"/>
  <c r="B2165" i="16"/>
  <c r="B2186" i="16"/>
  <c r="B2203" i="16"/>
  <c r="F2203" i="16" s="1"/>
  <c r="B2224" i="16"/>
  <c r="B2245" i="16"/>
  <c r="B2275" i="16"/>
  <c r="B2306" i="16"/>
  <c r="F2306" i="16" s="1"/>
  <c r="B2320" i="16"/>
  <c r="F2321" i="16" s="1"/>
  <c r="B2365" i="16"/>
  <c r="F2365" i="16" s="1"/>
  <c r="C2566" i="16"/>
  <c r="B2566" i="16"/>
  <c r="C2626" i="16"/>
  <c r="B2626" i="16"/>
  <c r="B2102" i="16"/>
  <c r="F2102" i="16" s="1"/>
  <c r="B2119" i="16"/>
  <c r="F2120" i="16" s="1"/>
  <c r="B2140" i="16"/>
  <c r="F2140" i="16" s="1"/>
  <c r="B2161" i="16"/>
  <c r="F2161" i="16" s="1"/>
  <c r="B2182" i="16"/>
  <c r="B2199" i="16"/>
  <c r="B2220" i="16"/>
  <c r="B2241" i="16"/>
  <c r="F2241" i="16" s="1"/>
  <c r="B2258" i="16"/>
  <c r="F2258" i="16" s="1"/>
  <c r="B2271" i="16"/>
  <c r="F2271" i="16" s="1"/>
  <c r="B2311" i="16"/>
  <c r="B2325" i="16"/>
  <c r="C2330" i="16"/>
  <c r="B2330" i="16"/>
  <c r="F2340" i="16"/>
  <c r="B2370" i="16"/>
  <c r="F2370" i="16" s="1"/>
  <c r="B2392" i="16"/>
  <c r="F2392" i="16" s="1"/>
  <c r="B2115" i="16"/>
  <c r="F2115" i="16" s="1"/>
  <c r="B2136" i="16"/>
  <c r="B2157" i="16"/>
  <c r="B2178" i="16"/>
  <c r="B2195" i="16"/>
  <c r="F2195" i="16" s="1"/>
  <c r="B2216" i="16"/>
  <c r="B2237" i="16"/>
  <c r="B2267" i="16"/>
  <c r="F2267" i="16" s="1"/>
  <c r="C2284" i="16"/>
  <c r="B2293" i="16"/>
  <c r="F2293" i="16" s="1"/>
  <c r="B2297" i="16"/>
  <c r="F2297" i="16" s="1"/>
  <c r="C2461" i="16"/>
  <c r="C2764" i="16"/>
  <c r="B2764" i="16"/>
  <c r="F2764" i="16" s="1"/>
  <c r="B2111" i="16"/>
  <c r="F2111" i="16" s="1"/>
  <c r="B2132" i="16"/>
  <c r="F2132" i="16" s="1"/>
  <c r="B2153" i="16"/>
  <c r="B2174" i="16"/>
  <c r="B2191" i="16"/>
  <c r="F2191" i="16" s="1"/>
  <c r="B2212" i="16"/>
  <c r="F2212" i="16" s="1"/>
  <c r="B2233" i="16"/>
  <c r="F2233" i="16" s="1"/>
  <c r="B2254" i="16"/>
  <c r="B2289" i="16"/>
  <c r="F2289" i="16" s="1"/>
  <c r="B2302" i="16"/>
  <c r="F2302" i="16" s="1"/>
  <c r="B2336" i="16"/>
  <c r="B2263" i="16"/>
  <c r="F2263" i="16" s="1"/>
  <c r="B2280" i="16"/>
  <c r="C2331" i="16"/>
  <c r="C2356" i="16"/>
  <c r="B2356" i="16"/>
  <c r="F2356" i="16" s="1"/>
  <c r="B2377" i="16"/>
  <c r="F2377" i="16" s="1"/>
  <c r="F2559" i="16"/>
  <c r="B2709" i="16"/>
  <c r="C2485" i="16"/>
  <c r="B2485" i="16"/>
  <c r="C2613" i="16"/>
  <c r="B2613" i="16"/>
  <c r="B2357" i="16"/>
  <c r="C2393" i="16"/>
  <c r="B2393" i="16"/>
  <c r="B2422" i="16"/>
  <c r="B2455" i="16"/>
  <c r="C2551" i="16"/>
  <c r="C2579" i="16"/>
  <c r="C2674" i="16"/>
  <c r="C2981" i="16"/>
  <c r="B2981" i="16"/>
  <c r="C2998" i="16"/>
  <c r="F2527" i="16"/>
  <c r="C2796" i="16"/>
  <c r="B2796" i="16"/>
  <c r="F2380" i="16"/>
  <c r="F2451" i="16"/>
  <c r="F2501" i="16"/>
  <c r="F2594" i="16"/>
  <c r="C2635" i="16"/>
  <c r="B2635" i="16"/>
  <c r="F2635" i="16" s="1"/>
  <c r="C2588" i="16"/>
  <c r="B2588" i="16"/>
  <c r="F2588" i="16" s="1"/>
  <c r="B2650" i="16"/>
  <c r="C2797" i="16"/>
  <c r="B2797" i="16"/>
  <c r="C2944" i="16"/>
  <c r="B2944" i="16"/>
  <c r="F2944" i="16" s="1"/>
  <c r="C2435" i="16"/>
  <c r="F2469" i="16"/>
  <c r="C2602" i="16"/>
  <c r="B2602" i="16"/>
  <c r="B2636" i="16"/>
  <c r="B2731" i="16"/>
  <c r="F2746" i="16"/>
  <c r="B2751" i="16"/>
  <c r="C2751" i="16"/>
  <c r="C2846" i="16"/>
  <c r="B2446" i="16"/>
  <c r="C2452" i="16"/>
  <c r="B2452" i="16"/>
  <c r="F2452" i="16" s="1"/>
  <c r="C2475" i="16"/>
  <c r="B2475" i="16"/>
  <c r="F2475" i="16" s="1"/>
  <c r="C2508" i="16"/>
  <c r="B2508" i="16"/>
  <c r="C2541" i="16"/>
  <c r="C2870" i="16"/>
  <c r="B2870" i="16"/>
  <c r="F2871" i="16" s="1"/>
  <c r="C2482" i="16"/>
  <c r="B2482" i="16"/>
  <c r="F2482" i="16" s="1"/>
  <c r="C2489" i="16"/>
  <c r="B2489" i="16"/>
  <c r="F2489" i="16" s="1"/>
  <c r="C2515" i="16"/>
  <c r="B2515" i="16"/>
  <c r="F2515" i="16" s="1"/>
  <c r="C2522" i="16"/>
  <c r="B2522" i="16"/>
  <c r="C2548" i="16"/>
  <c r="B2548" i="16"/>
  <c r="F2548" i="16" s="1"/>
  <c r="C2555" i="16"/>
  <c r="B2555" i="16"/>
  <c r="F2555" i="16" s="1"/>
  <c r="C2569" i="16"/>
  <c r="B2569" i="16"/>
  <c r="C2691" i="16"/>
  <c r="B2691" i="16"/>
  <c r="F2739" i="16"/>
  <c r="C2790" i="16"/>
  <c r="B2790" i="16"/>
  <c r="F2791" i="16" s="1"/>
  <c r="C2806" i="16"/>
  <c r="B2806" i="16"/>
  <c r="C2937" i="16"/>
  <c r="B2937" i="16"/>
  <c r="C2420" i="16"/>
  <c r="C2436" i="16"/>
  <c r="C2441" i="16"/>
  <c r="F2576" i="16"/>
  <c r="B2603" i="16"/>
  <c r="B2847" i="16"/>
  <c r="B2394" i="16"/>
  <c r="B2453" i="16"/>
  <c r="C2483" i="16"/>
  <c r="B2483" i="16"/>
  <c r="B2556" i="16"/>
  <c r="C2938" i="16"/>
  <c r="B2938" i="16"/>
  <c r="C2426" i="16"/>
  <c r="B2431" i="16"/>
  <c r="C2458" i="16"/>
  <c r="B2458" i="16"/>
  <c r="B2490" i="16"/>
  <c r="F2491" i="16" s="1"/>
  <c r="C2496" i="16"/>
  <c r="B2503" i="16"/>
  <c r="F2503" i="16" s="1"/>
  <c r="B2523" i="16"/>
  <c r="C2529" i="16"/>
  <c r="B2529" i="16"/>
  <c r="B2570" i="16"/>
  <c r="B2645" i="16"/>
  <c r="C2421" i="16"/>
  <c r="B2421" i="16"/>
  <c r="F2421" i="16" s="1"/>
  <c r="B2442" i="16"/>
  <c r="C2464" i="16"/>
  <c r="C2517" i="16"/>
  <c r="B2584" i="16"/>
  <c r="C2671" i="16"/>
  <c r="B2671" i="16"/>
  <c r="C2726" i="16"/>
  <c r="C2914" i="16"/>
  <c r="B2914" i="16"/>
  <c r="F2915" i="16" s="1"/>
  <c r="F2416" i="16"/>
  <c r="B2459" i="16"/>
  <c r="B2471" i="16"/>
  <c r="C2497" i="16"/>
  <c r="B2497" i="16"/>
  <c r="C2783" i="16"/>
  <c r="B2783" i="16"/>
  <c r="F2783" i="16" s="1"/>
  <c r="C2840" i="16"/>
  <c r="B2840" i="16"/>
  <c r="F2840" i="16" s="1"/>
  <c r="F2427" i="16"/>
  <c r="F2477" i="16"/>
  <c r="C2825" i="16"/>
  <c r="B2825" i="16"/>
  <c r="C2477" i="16"/>
  <c r="B2510" i="16"/>
  <c r="F2510" i="16" s="1"/>
  <c r="B2543" i="16"/>
  <c r="F2543" i="16" s="1"/>
  <c r="C2557" i="16"/>
  <c r="F2591" i="16"/>
  <c r="C2646" i="16"/>
  <c r="B2646" i="16"/>
  <c r="C2422" i="16"/>
  <c r="C2432" i="16"/>
  <c r="C2518" i="16"/>
  <c r="C2599" i="16"/>
  <c r="B2599" i="16"/>
  <c r="C2632" i="16"/>
  <c r="B2632" i="16"/>
  <c r="B2882" i="16"/>
  <c r="B2890" i="16"/>
  <c r="C2890" i="16"/>
  <c r="C2495" i="16"/>
  <c r="C2542" i="16"/>
  <c r="C2575" i="16"/>
  <c r="C2622" i="16"/>
  <c r="B2627" i="16"/>
  <c r="F2651" i="16"/>
  <c r="C2841" i="16"/>
  <c r="B2841" i="16"/>
  <c r="F2841" i="16" s="1"/>
  <c r="C2877" i="16"/>
  <c r="B2877" i="16"/>
  <c r="C2900" i="16"/>
  <c r="B2900" i="16"/>
  <c r="F2900" i="16" s="1"/>
  <c r="F2975" i="16"/>
  <c r="C2514" i="16"/>
  <c r="C2547" i="16"/>
  <c r="C2594" i="16"/>
  <c r="C2740" i="16"/>
  <c r="B2740" i="16"/>
  <c r="C2813" i="16"/>
  <c r="B2813" i="16"/>
  <c r="F2814" i="16" s="1"/>
  <c r="C2908" i="16"/>
  <c r="B2908" i="16"/>
  <c r="C2967" i="16"/>
  <c r="B2967" i="16"/>
  <c r="C2992" i="16"/>
  <c r="B2992" i="16"/>
  <c r="C2454" i="16"/>
  <c r="C2463" i="16"/>
  <c r="C2491" i="16"/>
  <c r="C2538" i="16"/>
  <c r="C2571" i="16"/>
  <c r="B2609" i="16"/>
  <c r="F2609" i="16" s="1"/>
  <c r="C2618" i="16"/>
  <c r="B2623" i="16"/>
  <c r="F2623" i="16" s="1"/>
  <c r="B2628" i="16"/>
  <c r="B2652" i="16"/>
  <c r="F2652" i="16" s="1"/>
  <c r="B2705" i="16"/>
  <c r="B2733" i="16"/>
  <c r="F2733" i="16" s="1"/>
  <c r="C2733" i="16"/>
  <c r="C2785" i="16"/>
  <c r="B2785" i="16"/>
  <c r="C2842" i="16"/>
  <c r="C2968" i="16"/>
  <c r="B2968" i="16"/>
  <c r="C2993" i="16"/>
  <c r="B2993" i="16"/>
  <c r="C2510" i="16"/>
  <c r="C2543" i="16"/>
  <c r="B2562" i="16"/>
  <c r="C2590" i="16"/>
  <c r="B2595" i="16"/>
  <c r="F2595" i="16" s="1"/>
  <c r="B2642" i="16"/>
  <c r="F2642" i="16" s="1"/>
  <c r="C2741" i="16"/>
  <c r="C2765" i="16"/>
  <c r="B2894" i="16"/>
  <c r="F2895" i="16" s="1"/>
  <c r="B2902" i="16"/>
  <c r="B2918" i="16"/>
  <c r="F2919" i="16" s="1"/>
  <c r="C2925" i="16"/>
  <c r="B2925" i="16"/>
  <c r="C2711" i="16"/>
  <c r="B2711" i="16"/>
  <c r="F2711" i="16" s="1"/>
  <c r="C2734" i="16"/>
  <c r="B2734" i="16"/>
  <c r="C2864" i="16"/>
  <c r="B2864" i="16"/>
  <c r="F2864" i="16" s="1"/>
  <c r="C2932" i="16"/>
  <c r="B2932" i="16"/>
  <c r="F2932" i="16" s="1"/>
  <c r="C2969" i="16"/>
  <c r="B2969" i="16"/>
  <c r="F2970" i="16" s="1"/>
  <c r="B2464" i="16"/>
  <c r="F2464" i="16" s="1"/>
  <c r="B2525" i="16"/>
  <c r="F2525" i="16" s="1"/>
  <c r="C2534" i="16"/>
  <c r="B2544" i="16"/>
  <c r="B2605" i="16"/>
  <c r="C2614" i="16"/>
  <c r="B2619" i="16"/>
  <c r="F2619" i="16" s="1"/>
  <c r="B2624" i="16"/>
  <c r="C2662" i="16"/>
  <c r="B2678" i="16"/>
  <c r="F2678" i="16" s="1"/>
  <c r="C2688" i="16"/>
  <c r="B2688" i="16"/>
  <c r="B2700" i="16"/>
  <c r="F2700" i="16" s="1"/>
  <c r="C2778" i="16"/>
  <c r="B2778" i="16"/>
  <c r="B2786" i="16"/>
  <c r="C2829" i="16"/>
  <c r="B2829" i="16"/>
  <c r="B2926" i="16"/>
  <c r="C2986" i="16"/>
  <c r="B2986" i="16"/>
  <c r="C2446" i="16"/>
  <c r="C2455" i="16"/>
  <c r="C2506" i="16"/>
  <c r="B2516" i="16"/>
  <c r="C2539" i="16"/>
  <c r="B2577" i="16"/>
  <c r="F2577" i="16" s="1"/>
  <c r="C2586" i="16"/>
  <c r="B2596" i="16"/>
  <c r="B2648" i="16"/>
  <c r="B2673" i="16"/>
  <c r="F2683" i="16"/>
  <c r="B2695" i="16"/>
  <c r="C2735" i="16"/>
  <c r="B2735" i="16"/>
  <c r="B2753" i="16"/>
  <c r="C2753" i="16"/>
  <c r="C2759" i="16"/>
  <c r="C2801" i="16"/>
  <c r="B2801" i="16"/>
  <c r="C2851" i="16"/>
  <c r="B2858" i="16"/>
  <c r="C2933" i="16"/>
  <c r="B2933" i="16"/>
  <c r="C2478" i="16"/>
  <c r="C2511" i="16"/>
  <c r="B2530" i="16"/>
  <c r="F2531" i="16" s="1"/>
  <c r="C2558" i="16"/>
  <c r="B2563" i="16"/>
  <c r="C2591" i="16"/>
  <c r="B2610" i="16"/>
  <c r="C2638" i="16"/>
  <c r="B2643" i="16"/>
  <c r="F2643" i="16" s="1"/>
  <c r="F2663" i="16"/>
  <c r="C2689" i="16"/>
  <c r="B2689" i="16"/>
  <c r="C2766" i="16"/>
  <c r="C2779" i="16"/>
  <c r="B2779" i="16"/>
  <c r="C2887" i="16"/>
  <c r="B2887" i="16"/>
  <c r="C2668" i="16"/>
  <c r="B2668" i="16"/>
  <c r="C2754" i="16"/>
  <c r="B2754" i="16"/>
  <c r="C2836" i="16"/>
  <c r="B2836" i="16"/>
  <c r="F2836" i="16" s="1"/>
  <c r="C2912" i="16"/>
  <c r="B2912" i="16"/>
  <c r="B2507" i="16"/>
  <c r="F2507" i="16" s="1"/>
  <c r="F2587" i="16"/>
  <c r="C2690" i="16"/>
  <c r="B2690" i="16"/>
  <c r="B2760" i="16"/>
  <c r="F2760" i="16" s="1"/>
  <c r="B2780" i="16"/>
  <c r="C2852" i="16"/>
  <c r="B2852" i="16"/>
  <c r="F2852" i="16" s="1"/>
  <c r="C2888" i="16"/>
  <c r="B2888" i="16"/>
  <c r="B2963" i="16"/>
  <c r="F2963" i="16" s="1"/>
  <c r="C2447" i="16"/>
  <c r="B2465" i="16"/>
  <c r="C2474" i="16"/>
  <c r="B2484" i="16"/>
  <c r="B2545" i="16"/>
  <c r="C2554" i="16"/>
  <c r="B2564" i="16"/>
  <c r="B2625" i="16"/>
  <c r="C2634" i="16"/>
  <c r="B2639" i="16"/>
  <c r="B2644" i="16"/>
  <c r="B2696" i="16"/>
  <c r="F2729" i="16"/>
  <c r="C2913" i="16"/>
  <c r="B2913" i="16"/>
  <c r="C2956" i="16"/>
  <c r="B2956" i="16"/>
  <c r="F2956" i="16" s="1"/>
  <c r="B2434" i="16"/>
  <c r="C2479" i="16"/>
  <c r="B2517" i="16"/>
  <c r="C2526" i="16"/>
  <c r="B2536" i="16"/>
  <c r="C2559" i="16"/>
  <c r="B2597" i="16"/>
  <c r="C2606" i="16"/>
  <c r="B2611" i="16"/>
  <c r="B2616" i="16"/>
  <c r="B2649" i="16"/>
  <c r="B2664" i="16"/>
  <c r="F2664" i="16" s="1"/>
  <c r="B2669" i="16"/>
  <c r="B2674" i="16"/>
  <c r="F2743" i="16"/>
  <c r="B2773" i="16"/>
  <c r="C2773" i="16"/>
  <c r="C2795" i="16"/>
  <c r="B2795" i="16"/>
  <c r="B2846" i="16"/>
  <c r="C2853" i="16"/>
  <c r="B2853" i="16"/>
  <c r="C2889" i="16"/>
  <c r="B2889" i="16"/>
  <c r="C2443" i="16"/>
  <c r="B2470" i="16"/>
  <c r="F2470" i="16" s="1"/>
  <c r="C2498" i="16"/>
  <c r="C2531" i="16"/>
  <c r="C2578" i="16"/>
  <c r="B2737" i="16"/>
  <c r="F2737" i="16" s="1"/>
  <c r="C2737" i="16"/>
  <c r="B2761" i="16"/>
  <c r="C2761" i="16"/>
  <c r="C2781" i="16"/>
  <c r="B2781" i="16"/>
  <c r="C2824" i="16"/>
  <c r="B2824" i="16"/>
  <c r="F2824" i="16" s="1"/>
  <c r="C2957" i="16"/>
  <c r="B2957" i="16"/>
  <c r="C2980" i="16"/>
  <c r="B2980" i="16"/>
  <c r="F2980" i="16" s="1"/>
  <c r="C2988" i="16"/>
  <c r="B2988" i="16"/>
  <c r="C2503" i="16"/>
  <c r="C2550" i="16"/>
  <c r="C2583" i="16"/>
  <c r="C2630" i="16"/>
  <c r="C2654" i="16"/>
  <c r="B2702" i="16"/>
  <c r="C2708" i="16"/>
  <c r="B2708" i="16"/>
  <c r="F2708" i="16" s="1"/>
  <c r="C2774" i="16"/>
  <c r="B2774" i="16"/>
  <c r="F2775" i="16" s="1"/>
  <c r="C2906" i="16"/>
  <c r="B2906" i="16"/>
  <c r="C2865" i="16"/>
  <c r="B2865" i="16"/>
  <c r="C2920" i="16"/>
  <c r="B2920" i="16"/>
  <c r="F2920" i="16" s="1"/>
  <c r="C2945" i="16"/>
  <c r="B2945" i="16"/>
  <c r="C3000" i="16"/>
  <c r="B3000" i="16"/>
  <c r="C2896" i="16"/>
  <c r="B2896" i="16"/>
  <c r="F2896" i="16" s="1"/>
  <c r="C2921" i="16"/>
  <c r="B2921" i="16"/>
  <c r="C2976" i="16"/>
  <c r="B2976" i="16"/>
  <c r="F2976" i="16" s="1"/>
  <c r="F2719" i="16"/>
  <c r="F2747" i="16"/>
  <c r="C2837" i="16"/>
  <c r="B2837" i="16"/>
  <c r="C2848" i="16"/>
  <c r="B2848" i="16"/>
  <c r="C2884" i="16"/>
  <c r="B2884" i="16"/>
  <c r="F2884" i="16" s="1"/>
  <c r="C2909" i="16"/>
  <c r="B2909" i="16"/>
  <c r="C2964" i="16"/>
  <c r="B2964" i="16"/>
  <c r="C2989" i="16"/>
  <c r="B2989" i="16"/>
  <c r="C2777" i="16"/>
  <c r="B2777" i="16"/>
  <c r="C2793" i="16"/>
  <c r="B2793" i="16"/>
  <c r="C2809" i="16"/>
  <c r="B2809" i="16"/>
  <c r="F2809" i="16" s="1"/>
  <c r="C2872" i="16"/>
  <c r="B2872" i="16"/>
  <c r="F2872" i="16" s="1"/>
  <c r="C2897" i="16"/>
  <c r="B2897" i="16"/>
  <c r="C2952" i="16"/>
  <c r="B2952" i="16"/>
  <c r="F2952" i="16" s="1"/>
  <c r="C2977" i="16"/>
  <c r="B2977" i="16"/>
  <c r="B2983" i="16"/>
  <c r="B3002" i="16"/>
  <c r="B2675" i="16"/>
  <c r="B2684" i="16"/>
  <c r="F2684" i="16" s="1"/>
  <c r="B2693" i="16"/>
  <c r="B2715" i="16"/>
  <c r="F2715" i="16" s="1"/>
  <c r="B2724" i="16"/>
  <c r="B2767" i="16"/>
  <c r="F2767" i="16" s="1"/>
  <c r="C2820" i="16"/>
  <c r="B2820" i="16"/>
  <c r="B2843" i="16"/>
  <c r="F2843" i="16" s="1"/>
  <c r="C2849" i="16"/>
  <c r="B2849" i="16"/>
  <c r="C2860" i="16"/>
  <c r="B2860" i="16"/>
  <c r="F2860" i="16" s="1"/>
  <c r="C2885" i="16"/>
  <c r="B2885" i="16"/>
  <c r="B2891" i="16"/>
  <c r="B2910" i="16"/>
  <c r="C2940" i="16"/>
  <c r="B2940" i="16"/>
  <c r="C2965" i="16"/>
  <c r="B2965" i="16"/>
  <c r="B2971" i="16"/>
  <c r="F2971" i="16" s="1"/>
  <c r="B2990" i="16"/>
  <c r="C2729" i="16"/>
  <c r="B2788" i="16"/>
  <c r="B2804" i="16"/>
  <c r="B2838" i="16"/>
  <c r="C2873" i="16"/>
  <c r="B2873" i="16"/>
  <c r="B2879" i="16"/>
  <c r="B2898" i="16"/>
  <c r="C2928" i="16"/>
  <c r="B2928" i="16"/>
  <c r="F2928" i="16" s="1"/>
  <c r="C2953" i="16"/>
  <c r="B2953" i="16"/>
  <c r="B2959" i="16"/>
  <c r="F2959" i="16" s="1"/>
  <c r="B2978" i="16"/>
  <c r="B2794" i="16"/>
  <c r="B2799" i="16"/>
  <c r="F2799" i="16" s="1"/>
  <c r="B2810" i="16"/>
  <c r="B2815" i="16"/>
  <c r="F2815" i="16" s="1"/>
  <c r="C2821" i="16"/>
  <c r="B2821" i="16"/>
  <c r="F2821" i="16" s="1"/>
  <c r="C2832" i="16"/>
  <c r="B2832" i="16"/>
  <c r="F2832" i="16" s="1"/>
  <c r="C2861" i="16"/>
  <c r="B2861" i="16"/>
  <c r="C2916" i="16"/>
  <c r="B2916" i="16"/>
  <c r="F2916" i="16" s="1"/>
  <c r="C2941" i="16"/>
  <c r="B2941" i="16"/>
  <c r="F2947" i="16"/>
  <c r="C2996" i="16"/>
  <c r="B2996" i="16"/>
  <c r="C2904" i="16"/>
  <c r="B2904" i="16"/>
  <c r="C2929" i="16"/>
  <c r="B2929" i="16"/>
  <c r="C2984" i="16"/>
  <c r="B2984" i="16"/>
  <c r="C2789" i="16"/>
  <c r="B2789" i="16"/>
  <c r="C2805" i="16"/>
  <c r="B2805" i="16"/>
  <c r="C2833" i="16"/>
  <c r="B2833" i="16"/>
  <c r="C2844" i="16"/>
  <c r="B2844" i="16"/>
  <c r="B2862" i="16"/>
  <c r="C2892" i="16"/>
  <c r="B2892" i="16"/>
  <c r="C2917" i="16"/>
  <c r="B2917" i="16"/>
  <c r="B2942" i="16"/>
  <c r="F2943" i="16" s="1"/>
  <c r="C2972" i="16"/>
  <c r="B2972" i="16"/>
  <c r="B2694" i="16"/>
  <c r="B2730" i="16"/>
  <c r="F2730" i="16" s="1"/>
  <c r="B2822" i="16"/>
  <c r="C2880" i="16"/>
  <c r="B2880" i="16"/>
  <c r="F2880" i="16" s="1"/>
  <c r="C2905" i="16"/>
  <c r="B2905" i="16"/>
  <c r="F2905" i="16" s="1"/>
  <c r="B2911" i="16"/>
  <c r="B2930" i="16"/>
  <c r="C2960" i="16"/>
  <c r="B2960" i="16"/>
  <c r="C2985" i="16"/>
  <c r="B2985" i="16"/>
  <c r="B2991" i="16"/>
  <c r="B2672" i="16"/>
  <c r="B2712" i="16"/>
  <c r="C2749" i="16"/>
  <c r="B2784" i="16"/>
  <c r="B2800" i="16"/>
  <c r="C2816" i="16"/>
  <c r="B2816" i="16"/>
  <c r="C2845" i="16"/>
  <c r="B2845" i="16"/>
  <c r="C2856" i="16"/>
  <c r="B2856" i="16"/>
  <c r="F2856" i="16" s="1"/>
  <c r="C2868" i="16"/>
  <c r="B2868" i="16"/>
  <c r="C2893" i="16"/>
  <c r="B2893" i="16"/>
  <c r="C2948" i="16"/>
  <c r="B2948" i="16"/>
  <c r="F2948" i="16" s="1"/>
  <c r="C2973" i="16"/>
  <c r="B2973" i="16"/>
  <c r="B2998" i="16"/>
  <c r="C2881" i="16"/>
  <c r="B2881" i="16"/>
  <c r="C2936" i="16"/>
  <c r="B2936" i="16"/>
  <c r="F2936" i="16" s="1"/>
  <c r="C2961" i="16"/>
  <c r="B2961" i="16"/>
  <c r="F2962" i="16" s="1"/>
  <c r="C2817" i="16"/>
  <c r="B2817" i="16"/>
  <c r="C2828" i="16"/>
  <c r="B2828" i="16"/>
  <c r="F2828" i="16" s="1"/>
  <c r="C2857" i="16"/>
  <c r="B2857" i="16"/>
  <c r="C2869" i="16"/>
  <c r="B2869" i="16"/>
  <c r="C2924" i="16"/>
  <c r="B2924" i="16"/>
  <c r="F2924" i="16" s="1"/>
  <c r="C2949" i="16"/>
  <c r="B2949" i="16"/>
  <c r="B3003" i="16"/>
  <c r="B3004" i="16"/>
  <c r="B2997" i="16"/>
  <c r="F2997" i="16" s="1"/>
  <c r="B3001" i="16"/>
  <c r="B3005" i="16"/>
  <c r="N12" i="15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L18" i="6"/>
  <c r="M18" i="6" s="1"/>
  <c r="K18" i="6"/>
  <c r="D18" i="6"/>
  <c r="L17" i="6"/>
  <c r="M17" i="6" s="1"/>
  <c r="K17" i="6"/>
  <c r="D17" i="6"/>
  <c r="L16" i="6"/>
  <c r="M16" i="6" s="1"/>
  <c r="K16" i="6"/>
  <c r="D16" i="6"/>
  <c r="L15" i="6"/>
  <c r="M15" i="6" s="1"/>
  <c r="K15" i="6"/>
  <c r="D15" i="6"/>
  <c r="L14" i="6"/>
  <c r="M14" i="6" s="1"/>
  <c r="K14" i="6"/>
  <c r="D14" i="6"/>
  <c r="L13" i="6"/>
  <c r="M13" i="6" s="1"/>
  <c r="K13" i="6"/>
  <c r="D13" i="6"/>
  <c r="D12" i="6"/>
  <c r="L11" i="6"/>
  <c r="M11" i="6" s="1"/>
  <c r="K11" i="6"/>
  <c r="D11" i="6"/>
  <c r="L10" i="6"/>
  <c r="M10" i="6" s="1"/>
  <c r="K10" i="6"/>
  <c r="D10" i="6"/>
  <c r="L9" i="6"/>
  <c r="M9" i="6" s="1"/>
  <c r="K9" i="6"/>
  <c r="D9" i="6"/>
  <c r="L8" i="6"/>
  <c r="M8" i="6" s="1"/>
  <c r="K8" i="6"/>
  <c r="D8" i="6"/>
  <c r="L7" i="6"/>
  <c r="M7" i="6" s="1"/>
  <c r="K7" i="6"/>
  <c r="D7" i="6"/>
  <c r="L6" i="6"/>
  <c r="M6" i="6" s="1"/>
  <c r="K6" i="6"/>
  <c r="H6" i="6"/>
  <c r="D6" i="6"/>
  <c r="L5" i="6"/>
  <c r="M5" i="6" s="1"/>
  <c r="K5" i="6"/>
  <c r="H5" i="6"/>
  <c r="D5" i="6"/>
  <c r="H4" i="6"/>
  <c r="D4" i="6"/>
  <c r="H3" i="6"/>
  <c r="D3" i="6"/>
  <c r="H2" i="6"/>
  <c r="D2" i="6"/>
  <c r="F22" i="15"/>
  <c r="F23" i="15" s="1"/>
  <c r="E22" i="15"/>
  <c r="K12" i="15"/>
  <c r="D12" i="15"/>
  <c r="D11" i="15"/>
  <c r="K10" i="15"/>
  <c r="D10" i="15"/>
  <c r="L10" i="15" s="1"/>
  <c r="K11" i="15"/>
  <c r="F2375" i="16" l="1"/>
  <c r="F501" i="16"/>
  <c r="F2198" i="16"/>
  <c r="F1788" i="16"/>
  <c r="F2702" i="16"/>
  <c r="F2562" i="16"/>
  <c r="F1444" i="16"/>
  <c r="F2712" i="16"/>
  <c r="F755" i="16"/>
  <c r="F2033" i="16"/>
  <c r="F522" i="16"/>
  <c r="F92" i="16"/>
  <c r="F1210" i="16"/>
  <c r="F1431" i="16"/>
  <c r="F1233" i="16"/>
  <c r="F2810" i="16"/>
  <c r="F2891" i="16"/>
  <c r="F1600" i="16"/>
  <c r="F494" i="16"/>
  <c r="F1944" i="16"/>
  <c r="F1238" i="16"/>
  <c r="F2336" i="16"/>
  <c r="F1911" i="16"/>
  <c r="F1399" i="16"/>
  <c r="F374" i="16"/>
  <c r="F2354" i="16"/>
  <c r="F3001" i="16"/>
  <c r="F2793" i="16"/>
  <c r="F708" i="16"/>
  <c r="F671" i="16"/>
  <c r="F1478" i="16"/>
  <c r="F421" i="16"/>
  <c r="F1366" i="16"/>
  <c r="F255" i="16"/>
  <c r="F1666" i="16"/>
  <c r="F1186" i="16"/>
  <c r="F2879" i="16"/>
  <c r="F2878" i="16"/>
  <c r="F2143" i="16"/>
  <c r="F2308" i="16"/>
  <c r="F1055" i="16"/>
  <c r="F247" i="16"/>
  <c r="F2159" i="16"/>
  <c r="F1455" i="16"/>
  <c r="F1272" i="16"/>
  <c r="F1232" i="16"/>
  <c r="F351" i="16"/>
  <c r="F1756" i="16"/>
  <c r="F131" i="16"/>
  <c r="F2193" i="16"/>
  <c r="F1757" i="16"/>
  <c r="F1092" i="16"/>
  <c r="F673" i="16"/>
  <c r="F1971" i="16"/>
  <c r="F466" i="16"/>
  <c r="F376" i="16"/>
  <c r="F456" i="16"/>
  <c r="F2874" i="16"/>
  <c r="F1051" i="16"/>
  <c r="F941" i="16"/>
  <c r="F547" i="16"/>
  <c r="F1895" i="16"/>
  <c r="F2575" i="16"/>
  <c r="F2888" i="16"/>
  <c r="F2309" i="16"/>
  <c r="F2040" i="16"/>
  <c r="F1555" i="16"/>
  <c r="F1002" i="16"/>
  <c r="F1344" i="16"/>
  <c r="F1832" i="16"/>
  <c r="F455" i="16"/>
  <c r="F67" i="16"/>
  <c r="F2819" i="16"/>
  <c r="F30" i="16"/>
  <c r="F2657" i="16"/>
  <c r="F2613" i="16"/>
  <c r="F1222" i="16"/>
  <c r="F979" i="16"/>
  <c r="F2627" i="16"/>
  <c r="F1493" i="16"/>
  <c r="F1169" i="16"/>
  <c r="F779" i="16"/>
  <c r="F292" i="16"/>
  <c r="F1130" i="16"/>
  <c r="F831" i="16"/>
  <c r="F1848" i="16"/>
  <c r="F2400" i="16"/>
  <c r="F2367" i="16"/>
  <c r="F1407" i="16"/>
  <c r="F1305" i="16"/>
  <c r="F1174" i="16"/>
  <c r="F33" i="16"/>
  <c r="F851" i="16"/>
  <c r="F1021" i="16"/>
  <c r="F2088" i="16"/>
  <c r="F1073" i="16"/>
  <c r="F2362" i="16"/>
  <c r="F1959" i="16"/>
  <c r="F444" i="16"/>
  <c r="F1742" i="16"/>
  <c r="F1257" i="16"/>
  <c r="F2062" i="16"/>
  <c r="F1755" i="16"/>
  <c r="F1833" i="16"/>
  <c r="F2450" i="16"/>
  <c r="F422" i="16"/>
  <c r="F1608" i="16"/>
  <c r="F2153" i="16"/>
  <c r="F2780" i="16"/>
  <c r="F2992" i="16"/>
  <c r="F933" i="16"/>
  <c r="F2568" i="16"/>
  <c r="F1367" i="16"/>
  <c r="F1285" i="16"/>
  <c r="F920" i="16"/>
  <c r="F746" i="16"/>
  <c r="F2396" i="16"/>
  <c r="F1445" i="16"/>
  <c r="F38" i="16"/>
  <c r="F32" i="16"/>
  <c r="F2413" i="16"/>
  <c r="F1335" i="16"/>
  <c r="F1551" i="16"/>
  <c r="F97" i="16"/>
  <c r="F513" i="16"/>
  <c r="F2445" i="16"/>
  <c r="F1722" i="16"/>
  <c r="F699" i="16"/>
  <c r="F497" i="16"/>
  <c r="F876" i="16"/>
  <c r="F2885" i="16"/>
  <c r="F2922" i="16"/>
  <c r="F2569" i="16"/>
  <c r="F1849" i="16"/>
  <c r="F2598" i="16"/>
  <c r="F386" i="16"/>
  <c r="F2419" i="16"/>
  <c r="F2728" i="16"/>
  <c r="F2910" i="16"/>
  <c r="F2199" i="16"/>
  <c r="F715" i="16"/>
  <c r="F2789" i="16"/>
  <c r="F2973" i="16"/>
  <c r="F2440" i="16"/>
  <c r="F1882" i="16"/>
  <c r="F662" i="16"/>
  <c r="F656" i="16"/>
  <c r="F52" i="16"/>
  <c r="F2292" i="16"/>
  <c r="F1650" i="16"/>
  <c r="F316" i="16"/>
  <c r="F1508" i="16"/>
  <c r="F681" i="16"/>
  <c r="F2160" i="16"/>
  <c r="F1494" i="16"/>
  <c r="F3004" i="16"/>
  <c r="F2237" i="16"/>
  <c r="F1963" i="16"/>
  <c r="F1632" i="16"/>
  <c r="F231" i="16"/>
  <c r="F2658" i="16"/>
  <c r="F2280" i="16"/>
  <c r="F340" i="16"/>
  <c r="F814" i="16"/>
  <c r="F808" i="16"/>
  <c r="F2805" i="16"/>
  <c r="F2820" i="16"/>
  <c r="F2705" i="16"/>
  <c r="F1792" i="16"/>
  <c r="F310" i="16"/>
  <c r="F2011" i="16"/>
  <c r="F2236" i="16"/>
  <c r="F670" i="16"/>
  <c r="F2253" i="16"/>
  <c r="F2665" i="16"/>
  <c r="F1993" i="16"/>
  <c r="F1472" i="16"/>
  <c r="F1417" i="16"/>
  <c r="F1145" i="16"/>
  <c r="F588" i="16"/>
  <c r="F472" i="16"/>
  <c r="F451" i="16"/>
  <c r="F718" i="16"/>
  <c r="F2052" i="16"/>
  <c r="F2964" i="16"/>
  <c r="F2136" i="16"/>
  <c r="F2386" i="16"/>
  <c r="F668" i="16"/>
  <c r="F530" i="16"/>
  <c r="F1803" i="16"/>
  <c r="F2939" i="16"/>
  <c r="F2296" i="16"/>
  <c r="F1386" i="16"/>
  <c r="F1769" i="16"/>
  <c r="F2583" i="16"/>
  <c r="F2991" i="16"/>
  <c r="F2940" i="16"/>
  <c r="F2529" i="16"/>
  <c r="F1481" i="16"/>
  <c r="F1336" i="16"/>
  <c r="F2748" i="16"/>
  <c r="F892" i="16"/>
  <c r="F2176" i="16"/>
  <c r="F2295" i="16"/>
  <c r="F1789" i="16"/>
  <c r="F991" i="16"/>
  <c r="F2414" i="16"/>
  <c r="F2324" i="16"/>
  <c r="F2835" i="16"/>
  <c r="F2521" i="16"/>
  <c r="F2648" i="16"/>
  <c r="F390" i="16"/>
  <c r="F2999" i="16"/>
  <c r="F1950" i="16"/>
  <c r="F352" i="16"/>
  <c r="F585" i="16"/>
  <c r="F1804" i="16"/>
  <c r="F2051" i="16"/>
  <c r="F27" i="16"/>
  <c r="F961" i="16"/>
  <c r="F2930" i="16"/>
  <c r="F1888" i="16"/>
  <c r="F331" i="16"/>
  <c r="F2420" i="16"/>
  <c r="F695" i="16"/>
  <c r="F486" i="16"/>
  <c r="F2632" i="16"/>
  <c r="F815" i="16"/>
  <c r="F572" i="16"/>
  <c r="F2494" i="16"/>
  <c r="F675" i="16"/>
  <c r="F922" i="16"/>
  <c r="F655" i="16"/>
  <c r="F2720" i="16"/>
  <c r="F2038" i="16"/>
  <c r="F2580" i="16"/>
  <c r="F2000" i="16"/>
  <c r="F1605" i="16"/>
  <c r="F2978" i="16"/>
  <c r="F2481" i="16"/>
  <c r="F1750" i="16"/>
  <c r="F1690" i="16"/>
  <c r="F1443" i="16"/>
  <c r="F711" i="16"/>
  <c r="F631" i="16"/>
  <c r="F2156" i="16"/>
  <c r="F587" i="16"/>
  <c r="F341" i="16"/>
  <c r="F1694" i="16"/>
  <c r="F1580" i="16"/>
  <c r="F1379" i="16"/>
  <c r="F1157" i="16"/>
  <c r="F1033" i="16"/>
  <c r="F1313" i="16"/>
  <c r="F417" i="16"/>
  <c r="F2987" i="16"/>
  <c r="F2513" i="16"/>
  <c r="F104" i="16"/>
  <c r="F68" i="16"/>
  <c r="F1787" i="16"/>
  <c r="F2984" i="16"/>
  <c r="F1384" i="16"/>
  <c r="F431" i="16"/>
  <c r="F347" i="16"/>
  <c r="F879" i="16"/>
  <c r="F2771" i="16"/>
  <c r="F3000" i="16"/>
  <c r="F1939" i="16"/>
  <c r="F2751" i="16"/>
  <c r="F1578" i="16"/>
  <c r="F1654" i="16"/>
  <c r="F1396" i="16"/>
  <c r="F1540" i="16"/>
  <c r="F575" i="16"/>
  <c r="F883" i="16"/>
  <c r="F419" i="16"/>
  <c r="F2659" i="16"/>
  <c r="F459" i="16"/>
  <c r="F902" i="16"/>
  <c r="F1468" i="16"/>
  <c r="F2084" i="16"/>
  <c r="F2869" i="16"/>
  <c r="F2727" i="16"/>
  <c r="F2671" i="16"/>
  <c r="F2483" i="16"/>
  <c r="F2397" i="16"/>
  <c r="F1913" i="16"/>
  <c r="F1847" i="16"/>
  <c r="F1602" i="16"/>
  <c r="F565" i="16"/>
  <c r="F398" i="16"/>
  <c r="F510" i="16"/>
  <c r="F100" i="16"/>
  <c r="F165" i="16"/>
  <c r="F1012" i="16"/>
  <c r="F1255" i="16"/>
  <c r="F1096" i="16"/>
  <c r="F2500" i="16"/>
  <c r="F2430" i="16"/>
  <c r="F1428" i="16"/>
  <c r="F2782" i="16"/>
  <c r="F2887" i="16"/>
  <c r="F2845" i="16"/>
  <c r="F2688" i="16"/>
  <c r="F2646" i="16"/>
  <c r="F2462" i="16"/>
  <c r="F2325" i="16"/>
  <c r="F2197" i="16"/>
  <c r="F1893" i="16"/>
  <c r="F1439" i="16"/>
  <c r="F1258" i="16"/>
  <c r="F1314" i="16"/>
  <c r="F360" i="16"/>
  <c r="F154" i="16"/>
  <c r="F318" i="16"/>
  <c r="F2021" i="16"/>
  <c r="F2668" i="16"/>
  <c r="F2735" i="16"/>
  <c r="F2628" i="16"/>
  <c r="F2522" i="16"/>
  <c r="F2083" i="16"/>
  <c r="F2121" i="16"/>
  <c r="F1776" i="16"/>
  <c r="F1280" i="16"/>
  <c r="F1306" i="16"/>
  <c r="F1304" i="16"/>
  <c r="F1914" i="16"/>
  <c r="F2096" i="16"/>
  <c r="F2787" i="16"/>
  <c r="F295" i="16"/>
  <c r="F784" i="16"/>
  <c r="F2917" i="16"/>
  <c r="F2578" i="16"/>
  <c r="F1686" i="16"/>
  <c r="F1837" i="16"/>
  <c r="F969" i="16"/>
  <c r="F2667" i="16"/>
  <c r="F2476" i="16"/>
  <c r="F2035" i="16"/>
  <c r="F2487" i="16"/>
  <c r="F2098" i="16"/>
  <c r="F1918" i="16"/>
  <c r="F1926" i="16"/>
  <c r="F1624" i="16"/>
  <c r="F1146" i="16"/>
  <c r="F635" i="16"/>
  <c r="F948" i="16"/>
  <c r="F511" i="16"/>
  <c r="F680" i="16"/>
  <c r="F975" i="16"/>
  <c r="F968" i="16"/>
  <c r="F926" i="16"/>
  <c r="F322" i="16"/>
  <c r="F2028" i="16"/>
  <c r="F2415" i="16"/>
  <c r="F2174" i="16"/>
  <c r="F1484" i="16"/>
  <c r="F1418" i="16"/>
  <c r="F344" i="16"/>
  <c r="F1320" i="16"/>
  <c r="F774" i="16"/>
  <c r="F334" i="16"/>
  <c r="F1458" i="16"/>
  <c r="F930" i="16"/>
  <c r="F2847" i="16"/>
  <c r="F607" i="16"/>
  <c r="F1794" i="16"/>
  <c r="F696" i="16"/>
  <c r="F1732" i="16"/>
  <c r="F1535" i="16"/>
  <c r="F1951" i="16"/>
  <c r="F1609" i="16"/>
  <c r="F660" i="16"/>
  <c r="F440" i="16"/>
  <c r="F73" i="16"/>
  <c r="F239" i="16"/>
  <c r="F487" i="16"/>
  <c r="F982" i="16"/>
  <c r="F1159" i="16"/>
  <c r="F551" i="16"/>
  <c r="F1087" i="16"/>
  <c r="F2795" i="16"/>
  <c r="F1416" i="16"/>
  <c r="F460" i="16"/>
  <c r="F2563" i="16"/>
  <c r="F2165" i="16"/>
  <c r="F1948" i="16"/>
  <c r="F1279" i="16"/>
  <c r="F759" i="16"/>
  <c r="F478" i="16"/>
  <c r="F232" i="16"/>
  <c r="F2868" i="16"/>
  <c r="F2822" i="16"/>
  <c r="F2516" i="16"/>
  <c r="F1972" i="16"/>
  <c r="F2773" i="16"/>
  <c r="F2188" i="16"/>
  <c r="F1867" i="16"/>
  <c r="F1805" i="16"/>
  <c r="F2333" i="16"/>
  <c r="F1761" i="16"/>
  <c r="F1271" i="16"/>
  <c r="F1349" i="16"/>
  <c r="F980" i="16"/>
  <c r="F597" i="16"/>
  <c r="F452" i="16"/>
  <c r="F69" i="16"/>
  <c r="F1999" i="16"/>
  <c r="F2069" i="16"/>
  <c r="F123" i="16"/>
  <c r="F2593" i="16"/>
  <c r="F2689" i="16"/>
  <c r="F2256" i="16"/>
  <c r="F1633" i="16"/>
  <c r="F2275" i="16"/>
  <c r="F1778" i="16"/>
  <c r="F806" i="16"/>
  <c r="F2655" i="16"/>
  <c r="F2681" i="16"/>
  <c r="F1826" i="16"/>
  <c r="F2311" i="16"/>
  <c r="F2210" i="16"/>
  <c r="F1945" i="16"/>
  <c r="F1509" i="16"/>
  <c r="F593" i="16"/>
  <c r="F971" i="16"/>
  <c r="F2904" i="16"/>
  <c r="F2144" i="16"/>
  <c r="F2777" i="16"/>
  <c r="F2957" i="16"/>
  <c r="F2694" i="16"/>
  <c r="F2996" i="16"/>
  <c r="F2744" i="16"/>
  <c r="F2811" i="16"/>
  <c r="F1907" i="16"/>
  <c r="F1730" i="16"/>
  <c r="F621" i="16"/>
  <c r="F967" i="16"/>
  <c r="F807" i="16"/>
  <c r="F207" i="16"/>
  <c r="F312" i="16"/>
  <c r="F1071" i="16"/>
  <c r="F2181" i="16"/>
  <c r="F1184" i="16"/>
  <c r="F757" i="16"/>
  <c r="F958" i="16"/>
  <c r="F2989" i="16"/>
  <c r="F2425" i="16"/>
  <c r="F1060" i="16"/>
  <c r="F818" i="16"/>
  <c r="F2967" i="16"/>
  <c r="F1932" i="16"/>
  <c r="F1541" i="16"/>
  <c r="F1039" i="16"/>
  <c r="F1299" i="16"/>
  <c r="F1062" i="16"/>
  <c r="F841" i="16"/>
  <c r="F871" i="16"/>
  <c r="F2858" i="16"/>
  <c r="F2926" i="16"/>
  <c r="F2467" i="16"/>
  <c r="F2374" i="16"/>
  <c r="F2352" i="16"/>
  <c r="F1018" i="16"/>
  <c r="F1375" i="16"/>
  <c r="F1246" i="16"/>
  <c r="F215" i="16"/>
  <c r="F216" i="16"/>
  <c r="F812" i="16"/>
  <c r="F2216" i="16"/>
  <c r="F2108" i="16"/>
  <c r="F2950" i="16"/>
  <c r="F1746" i="16"/>
  <c r="F1495" i="16"/>
  <c r="F1185" i="16"/>
  <c r="F645" i="16"/>
  <c r="F454" i="16"/>
  <c r="F401" i="16"/>
  <c r="F2902" i="16"/>
  <c r="F2666" i="16"/>
  <c r="F2495" i="16"/>
  <c r="F2797" i="16"/>
  <c r="F2119" i="16"/>
  <c r="F2235" i="16"/>
  <c r="F2147" i="16"/>
  <c r="F2145" i="16"/>
  <c r="F2379" i="16"/>
  <c r="F1531" i="16"/>
  <c r="F1645" i="16"/>
  <c r="F1117" i="16"/>
  <c r="F1205" i="16"/>
  <c r="F1436" i="16"/>
  <c r="F1209" i="16"/>
  <c r="F704" i="16"/>
  <c r="F960" i="16"/>
  <c r="F548" i="16"/>
  <c r="F132" i="16"/>
  <c r="F2908" i="16"/>
  <c r="F2178" i="16"/>
  <c r="F1516" i="16"/>
  <c r="F1480" i="16"/>
  <c r="F1713" i="16"/>
  <c r="F1165" i="16"/>
  <c r="F589" i="16"/>
  <c r="F962" i="16"/>
  <c r="F928" i="16"/>
  <c r="F502" i="16"/>
  <c r="F446" i="16"/>
  <c r="F748" i="16"/>
  <c r="F617" i="16"/>
  <c r="F270" i="16"/>
  <c r="F2359" i="16"/>
  <c r="F1886" i="16"/>
  <c r="F134" i="16"/>
  <c r="F1483" i="16"/>
  <c r="F596" i="16"/>
  <c r="F912" i="16"/>
  <c r="F2988" i="16"/>
  <c r="F2850" i="16"/>
  <c r="F539" i="16"/>
  <c r="F2873" i="16"/>
  <c r="F2182" i="16"/>
  <c r="F2762" i="16"/>
  <c r="F2734" i="16"/>
  <c r="F2008" i="16"/>
  <c r="F2990" i="16"/>
  <c r="F2740" i="16"/>
  <c r="F2431" i="16"/>
  <c r="F1980" i="16"/>
  <c r="F1710" i="16"/>
  <c r="F1612" i="16"/>
  <c r="F809" i="16"/>
  <c r="F1369" i="16"/>
  <c r="F643" i="16"/>
  <c r="F709" i="16"/>
  <c r="F244" i="16"/>
  <c r="F40" i="16"/>
  <c r="F1089" i="16"/>
  <c r="F365" i="16"/>
  <c r="F867" i="16"/>
  <c r="F2048" i="16"/>
  <c r="F514" i="16"/>
  <c r="F372" i="16"/>
  <c r="F1735" i="16"/>
  <c r="F1197" i="16"/>
  <c r="F2545" i="16"/>
  <c r="F2784" i="16"/>
  <c r="F2813" i="16"/>
  <c r="F2458" i="16"/>
  <c r="F2157" i="16"/>
  <c r="F2983" i="16"/>
  <c r="F2753" i="16"/>
  <c r="F2459" i="16"/>
  <c r="F2566" i="16"/>
  <c r="F2223" i="16"/>
  <c r="F2230" i="16"/>
  <c r="F1753" i="16"/>
  <c r="F1672" i="16"/>
  <c r="F1581" i="16"/>
  <c r="F1733" i="16"/>
  <c r="F997" i="16"/>
  <c r="F895" i="16"/>
  <c r="F837" i="16"/>
  <c r="F441" i="16"/>
  <c r="F598" i="16"/>
  <c r="F320" i="16"/>
  <c r="F2274" i="16"/>
  <c r="F2012" i="16"/>
  <c r="F1938" i="16"/>
  <c r="F75" i="16"/>
  <c r="F350" i="16"/>
  <c r="F167" i="16"/>
  <c r="F1724" i="16"/>
  <c r="F2573" i="16"/>
  <c r="F2605" i="16"/>
  <c r="F2636" i="16"/>
  <c r="F2277" i="16"/>
  <c r="F1880" i="16"/>
  <c r="F581" i="16"/>
  <c r="F1289" i="16"/>
  <c r="F976" i="16"/>
  <c r="F2941" i="16"/>
  <c r="F579" i="16"/>
  <c r="F2838" i="16"/>
  <c r="F2804" i="16"/>
  <c r="F2649" i="16"/>
  <c r="F2788" i="16"/>
  <c r="F2616" i="16"/>
  <c r="F2675" i="16"/>
  <c r="F2288" i="16"/>
  <c r="F2138" i="16"/>
  <c r="F2977" i="16"/>
  <c r="F2446" i="16"/>
  <c r="F2357" i="16"/>
  <c r="F2254" i="16"/>
  <c r="F2876" i="16"/>
  <c r="F2660" i="16"/>
  <c r="F2286" i="16"/>
  <c r="F2346" i="16"/>
  <c r="F1743" i="16"/>
  <c r="F1670" i="16"/>
  <c r="F1651" i="16"/>
  <c r="F1113" i="16"/>
  <c r="F1201" i="16"/>
  <c r="F832" i="16"/>
  <c r="F632" i="16"/>
  <c r="F609" i="16"/>
  <c r="F677" i="16"/>
  <c r="F1035" i="16"/>
  <c r="F432" i="16"/>
  <c r="F389" i="16"/>
  <c r="F193" i="16"/>
  <c r="F323" i="16"/>
  <c r="F128" i="16"/>
  <c r="F30" i="17"/>
  <c r="G28" i="17" s="1"/>
  <c r="F1426" i="16"/>
  <c r="F1427" i="16"/>
  <c r="F2853" i="16"/>
  <c r="F2679" i="16"/>
  <c r="F2741" i="16"/>
  <c r="F2798" i="16"/>
  <c r="F2460" i="16"/>
  <c r="F2692" i="16"/>
  <c r="F2650" i="16"/>
  <c r="F2589" i="16"/>
  <c r="F2204" i="16"/>
  <c r="F1687" i="16"/>
  <c r="F1781" i="16"/>
  <c r="F1300" i="16"/>
  <c r="F1081" i="16"/>
  <c r="F1125" i="16"/>
  <c r="F1274" i="16"/>
  <c r="F1542" i="16"/>
  <c r="F1001" i="16"/>
  <c r="F754" i="16"/>
  <c r="F57" i="16"/>
  <c r="F388" i="16"/>
  <c r="F317" i="16"/>
  <c r="F103" i="16"/>
  <c r="F2624" i="16"/>
  <c r="F2437" i="16"/>
  <c r="F2244" i="16"/>
  <c r="F2401" i="16"/>
  <c r="F1536" i="16"/>
  <c r="F1692" i="16"/>
  <c r="F1603" i="16"/>
  <c r="F1523" i="16"/>
  <c r="F1573" i="16"/>
  <c r="F913" i="16"/>
  <c r="F1072" i="16"/>
  <c r="F1517" i="16"/>
  <c r="F959" i="16"/>
  <c r="F787" i="16"/>
  <c r="F592" i="16"/>
  <c r="F475" i="16"/>
  <c r="F2045" i="16"/>
  <c r="F435" i="16"/>
  <c r="F2985" i="16"/>
  <c r="F2846" i="16"/>
  <c r="F2723" i="16"/>
  <c r="F2540" i="16"/>
  <c r="F2175" i="16"/>
  <c r="F2378" i="16"/>
  <c r="F1812" i="16"/>
  <c r="F1680" i="16"/>
  <c r="F1420" i="16"/>
  <c r="F1464" i="16"/>
  <c r="F1492" i="16"/>
  <c r="F884" i="16"/>
  <c r="F1095" i="16"/>
  <c r="F520" i="16"/>
  <c r="F650" i="16"/>
  <c r="F448" i="16"/>
  <c r="F238" i="16"/>
  <c r="F1702" i="16"/>
  <c r="F397" i="16"/>
  <c r="F396" i="16"/>
  <c r="F2536" i="16"/>
  <c r="F1223" i="16"/>
  <c r="F1623" i="16"/>
  <c r="F1036" i="16"/>
  <c r="F1137" i="16"/>
  <c r="F794" i="16"/>
  <c r="F1133" i="16"/>
  <c r="F442" i="16"/>
  <c r="F70" i="16"/>
  <c r="F719" i="16"/>
  <c r="F720" i="16"/>
  <c r="F1864" i="16"/>
  <c r="F2701" i="16"/>
  <c r="F2765" i="16"/>
  <c r="F2303" i="16"/>
  <c r="F2486" i="16"/>
  <c r="F1933" i="16"/>
  <c r="F2373" i="16"/>
  <c r="F1380" i="16"/>
  <c r="F1636" i="16"/>
  <c r="F1381" i="16"/>
  <c r="F1050" i="16"/>
  <c r="F1019" i="16"/>
  <c r="F954" i="16"/>
  <c r="F780" i="16"/>
  <c r="F1045" i="16"/>
  <c r="F321" i="16"/>
  <c r="F26" i="16"/>
  <c r="F2817" i="16"/>
  <c r="F2903" i="16"/>
  <c r="F2517" i="16"/>
  <c r="F2633" i="16"/>
  <c r="F2602" i="16"/>
  <c r="F2406" i="16"/>
  <c r="F2179" i="16"/>
  <c r="F2118" i="16"/>
  <c r="F2209" i="16"/>
  <c r="F2139" i="16"/>
  <c r="F2063" i="16"/>
  <c r="F2014" i="16"/>
  <c r="F2054" i="16"/>
  <c r="F2242" i="16"/>
  <c r="F1598" i="16"/>
  <c r="F1611" i="16"/>
  <c r="F1592" i="16"/>
  <c r="F1432" i="16"/>
  <c r="F937" i="16"/>
  <c r="F727" i="16"/>
  <c r="F722" i="16"/>
  <c r="F672" i="16"/>
  <c r="F303" i="16"/>
  <c r="F799" i="16"/>
  <c r="F256" i="16"/>
  <c r="F2897" i="16"/>
  <c r="F2695" i="16"/>
  <c r="F2829" i="16"/>
  <c r="F2709" i="16"/>
  <c r="F2196" i="16"/>
  <c r="F2246" i="16"/>
  <c r="F1984" i="16"/>
  <c r="F1912" i="16"/>
  <c r="F1721" i="16"/>
  <c r="F1413" i="16"/>
  <c r="F1368" i="16"/>
  <c r="F1813" i="16"/>
  <c r="F1364" i="16"/>
  <c r="F1466" i="16"/>
  <c r="F1057" i="16"/>
  <c r="F1402" i="16"/>
  <c r="F1310" i="16"/>
  <c r="F686" i="16"/>
  <c r="F855" i="16"/>
  <c r="F533" i="16"/>
  <c r="F362" i="16"/>
  <c r="F594" i="16"/>
  <c r="F135" i="16"/>
  <c r="F528" i="16"/>
  <c r="F433" i="16"/>
  <c r="F1459" i="16"/>
  <c r="F130" i="16"/>
  <c r="F1728" i="16"/>
  <c r="F2961" i="16"/>
  <c r="F2911" i="16"/>
  <c r="F2862" i="16"/>
  <c r="F2653" i="16"/>
  <c r="F2938" i="16"/>
  <c r="F2272" i="16"/>
  <c r="F2158" i="16"/>
  <c r="F1667" i="16"/>
  <c r="F1429" i="16"/>
  <c r="F1037" i="16"/>
  <c r="F212" i="16"/>
  <c r="F355" i="16"/>
  <c r="F82" i="16"/>
  <c r="F648" i="16"/>
  <c r="F1006" i="16"/>
  <c r="F1361" i="16"/>
  <c r="F1362" i="16"/>
  <c r="F375" i="16"/>
  <c r="F2794" i="16"/>
  <c r="F2979" i="16"/>
  <c r="F2484" i="16"/>
  <c r="F2786" i="16"/>
  <c r="F2993" i="16"/>
  <c r="F2890" i="16"/>
  <c r="F1842" i="16"/>
  <c r="F1924" i="16"/>
  <c r="F1752" i="16"/>
  <c r="F1905" i="16"/>
  <c r="F1134" i="16"/>
  <c r="F1376" i="16"/>
  <c r="F1318" i="16"/>
  <c r="F844" i="16"/>
  <c r="F1270" i="16"/>
  <c r="F1003" i="16"/>
  <c r="F1290" i="16"/>
  <c r="F716" i="16"/>
  <c r="F570" i="16"/>
  <c r="F366" i="16"/>
  <c r="F418" i="16"/>
  <c r="F2721" i="16"/>
  <c r="F2449" i="16"/>
  <c r="F36" i="16"/>
  <c r="F2785" i="16"/>
  <c r="F2965" i="16"/>
  <c r="F2925" i="16"/>
  <c r="F2504" i="16"/>
  <c r="F2637" i="16"/>
  <c r="F2937" i="16"/>
  <c r="F2183" i="16"/>
  <c r="F1628" i="16"/>
  <c r="F1241" i="16"/>
  <c r="F633" i="16"/>
  <c r="F603" i="16"/>
  <c r="F324" i="16"/>
  <c r="F2090" i="16"/>
  <c r="F2091" i="16"/>
  <c r="F2382" i="16"/>
  <c r="F133" i="16"/>
  <c r="F60" i="16"/>
  <c r="F2669" i="16"/>
  <c r="F2912" i="16"/>
  <c r="F2596" i="16"/>
  <c r="F2556" i="16"/>
  <c r="F2355" i="16"/>
  <c r="F2358" i="16"/>
  <c r="F2225" i="16"/>
  <c r="F1916" i="16"/>
  <c r="F2049" i="16"/>
  <c r="F1919" i="16"/>
  <c r="F2141" i="16"/>
  <c r="F2255" i="16"/>
  <c r="F1532" i="16"/>
  <c r="F1325" i="16"/>
  <c r="F1329" i="16"/>
  <c r="F682" i="16"/>
  <c r="F406" i="16"/>
  <c r="F54" i="16"/>
  <c r="F230" i="16"/>
  <c r="F2404" i="16"/>
  <c r="F151" i="16"/>
  <c r="F152" i="16"/>
  <c r="F1354" i="16"/>
  <c r="F206" i="16"/>
  <c r="F3003" i="16"/>
  <c r="F2833" i="16"/>
  <c r="F2949" i="16"/>
  <c r="F2881" i="16"/>
  <c r="F2570" i="16"/>
  <c r="F2468" i="16"/>
  <c r="F2422" i="16"/>
  <c r="F2320" i="16"/>
  <c r="F2426" i="16"/>
  <c r="F2314" i="16"/>
  <c r="F2167" i="16"/>
  <c r="F2020" i="16"/>
  <c r="F2001" i="16"/>
  <c r="F1955" i="16"/>
  <c r="F2071" i="16"/>
  <c r="F1588" i="16"/>
  <c r="F1585" i="16"/>
  <c r="F1477" i="16"/>
  <c r="F886" i="16"/>
  <c r="F916" i="16"/>
  <c r="F1077" i="16"/>
  <c r="F540" i="16"/>
  <c r="F485" i="16"/>
  <c r="F190" i="16"/>
  <c r="F175" i="16"/>
  <c r="F400" i="16"/>
  <c r="F345" i="16"/>
  <c r="F2405" i="16"/>
  <c r="F1048" i="16"/>
  <c r="F974" i="16"/>
  <c r="F1225" i="16"/>
  <c r="F183" i="16"/>
  <c r="F1991" i="16"/>
  <c r="F468" i="16"/>
  <c r="F2693" i="16"/>
  <c r="F2865" i="16"/>
  <c r="F2866" i="16"/>
  <c r="F2070" i="16"/>
  <c r="F1874" i="16"/>
  <c r="F1526" i="16"/>
  <c r="F1563" i="16"/>
  <c r="F1473" i="16"/>
  <c r="F838" i="16"/>
  <c r="F125" i="16"/>
  <c r="F2875" i="16"/>
  <c r="F1898" i="16"/>
  <c r="F1897" i="16"/>
  <c r="F1634" i="16"/>
  <c r="F1408" i="16"/>
  <c r="F1552" i="16"/>
  <c r="F1359" i="16"/>
  <c r="F1637" i="16"/>
  <c r="F830" i="16"/>
  <c r="F663" i="16"/>
  <c r="F664" i="16"/>
  <c r="F470" i="16"/>
  <c r="F599" i="16"/>
  <c r="F512" i="16"/>
  <c r="F404" i="16"/>
  <c r="F558" i="16"/>
  <c r="F373" i="16"/>
  <c r="F359" i="16"/>
  <c r="F58" i="16"/>
  <c r="F50" i="16"/>
  <c r="F1505" i="16"/>
  <c r="F1506" i="16"/>
  <c r="F1941" i="16"/>
  <c r="F1940" i="16"/>
  <c r="F2844" i="16"/>
  <c r="F2898" i="16"/>
  <c r="F2906" i="16"/>
  <c r="F2823" i="16"/>
  <c r="F2894" i="16"/>
  <c r="F2442" i="16"/>
  <c r="F2443" i="16"/>
  <c r="F2620" i="16"/>
  <c r="F2330" i="16"/>
  <c r="F2331" i="16"/>
  <c r="F2834" i="16"/>
  <c r="F2335" i="16"/>
  <c r="F1915" i="16"/>
  <c r="F2006" i="16"/>
  <c r="F2899" i="16"/>
  <c r="F1807" i="16"/>
  <c r="F1668" i="16"/>
  <c r="F1909" i="16"/>
  <c r="F1930" i="16"/>
  <c r="F1529" i="16"/>
  <c r="F1528" i="16"/>
  <c r="F1373" i="16"/>
  <c r="F2150" i="16"/>
  <c r="F1218" i="16"/>
  <c r="F1217" i="16"/>
  <c r="F917" i="16"/>
  <c r="F1097" i="16"/>
  <c r="F469" i="16"/>
  <c r="F2907" i="16"/>
  <c r="F13" i="16"/>
  <c r="F430" i="16"/>
  <c r="F332" i="16"/>
  <c r="F427" i="16"/>
  <c r="F642" i="16"/>
  <c r="F78" i="16"/>
  <c r="F988" i="16"/>
  <c r="F987" i="16"/>
  <c r="F2994" i="16"/>
  <c r="F801" i="16"/>
  <c r="F802" i="16"/>
  <c r="F2041" i="16"/>
  <c r="F1485" i="16"/>
  <c r="F1486" i="16"/>
  <c r="F2931" i="16"/>
  <c r="F2268" i="16"/>
  <c r="F2960" i="16"/>
  <c r="F2849" i="16"/>
  <c r="F2837" i="16"/>
  <c r="F2781" i="16"/>
  <c r="F2610" i="16"/>
  <c r="F2706" i="16"/>
  <c r="F2778" i="16"/>
  <c r="F2886" i="16"/>
  <c r="F2738" i="16"/>
  <c r="F2796" i="16"/>
  <c r="F2716" i="16"/>
  <c r="F2395" i="16"/>
  <c r="F2323" i="16"/>
  <c r="F2315" i="16"/>
  <c r="F2127" i="16"/>
  <c r="F2133" i="16"/>
  <c r="F2036" i="16"/>
  <c r="F2213" i="16"/>
  <c r="F2016" i="16"/>
  <c r="F1902" i="16"/>
  <c r="F1824" i="16"/>
  <c r="F1616" i="16"/>
  <c r="F1889" i="16"/>
  <c r="F1293" i="16"/>
  <c r="F998" i="16"/>
  <c r="F1206" i="16"/>
  <c r="F1334" i="16"/>
  <c r="F636" i="16"/>
  <c r="F776" i="16"/>
  <c r="F775" i="16"/>
  <c r="F840" i="16"/>
  <c r="F535" i="16"/>
  <c r="F536" i="16"/>
  <c r="F411" i="16"/>
  <c r="F492" i="16"/>
  <c r="F450" i="16"/>
  <c r="F1177" i="16"/>
  <c r="F500" i="16"/>
  <c r="F242" i="16"/>
  <c r="F2953" i="16"/>
  <c r="F2954" i="16"/>
  <c r="F2585" i="16"/>
  <c r="F2584" i="16"/>
  <c r="F573" i="16"/>
  <c r="F2754" i="16"/>
  <c r="F2863" i="16"/>
  <c r="F1956" i="16"/>
  <c r="F1774" i="16"/>
  <c r="F862" i="16"/>
  <c r="F863" i="16"/>
  <c r="F1393" i="16"/>
  <c r="F1392" i="16"/>
  <c r="F624" i="16"/>
  <c r="F623" i="16"/>
  <c r="F627" i="16"/>
  <c r="F717" i="16"/>
  <c r="F142" i="16"/>
  <c r="F141" i="16"/>
  <c r="F139" i="16"/>
  <c r="F2848" i="16"/>
  <c r="F491" i="16"/>
  <c r="F34" i="16"/>
  <c r="F2913" i="16"/>
  <c r="F2842" i="16"/>
  <c r="F2839" i="16"/>
  <c r="F2617" i="16"/>
  <c r="F2710" i="16"/>
  <c r="F2901" i="16"/>
  <c r="F2205" i="16"/>
  <c r="F2162" i="16"/>
  <c r="F1758" i="16"/>
  <c r="F1801" i="16"/>
  <c r="F1736" i="16"/>
  <c r="F1737" i="16"/>
  <c r="F1925" i="16"/>
  <c r="F2031" i="16"/>
  <c r="F1983" i="16"/>
  <c r="F1917" i="16"/>
  <c r="F1786" i="16"/>
  <c r="F1853" i="16"/>
  <c r="F1433" i="16"/>
  <c r="F1695" i="16"/>
  <c r="F1242" i="16"/>
  <c r="F1731" i="16"/>
  <c r="F986" i="16"/>
  <c r="F752" i="16"/>
  <c r="F751" i="16"/>
  <c r="F1537" i="16"/>
  <c r="F620" i="16"/>
  <c r="F637" i="16"/>
  <c r="F747" i="16"/>
  <c r="F687" i="16"/>
  <c r="F484" i="16"/>
  <c r="F370" i="16"/>
  <c r="F601" i="16"/>
  <c r="F582" i="16"/>
  <c r="F62" i="16"/>
  <c r="F290" i="16"/>
  <c r="F46" i="16"/>
  <c r="F743" i="16"/>
  <c r="F744" i="16"/>
  <c r="F938" i="16"/>
  <c r="F2968" i="16"/>
  <c r="F1973" i="16"/>
  <c r="F2022" i="16"/>
  <c r="F1337" i="16"/>
  <c r="F1754" i="16"/>
  <c r="F1063" i="16"/>
  <c r="F2713" i="16"/>
  <c r="F2806" i="16"/>
  <c r="F2245" i="16"/>
  <c r="F2273" i="16"/>
  <c r="F2238" i="16"/>
  <c r="F2068" i="16"/>
  <c r="F1934" i="16"/>
  <c r="F2086" i="16"/>
  <c r="F2192" i="16"/>
  <c r="F1747" i="16"/>
  <c r="F2269" i="16"/>
  <c r="F1883" i="16"/>
  <c r="F1953" i="16"/>
  <c r="F1744" i="16"/>
  <c r="F1693" i="16"/>
  <c r="F1770" i="16"/>
  <c r="F1974" i="16"/>
  <c r="F1868" i="16"/>
  <c r="F1229" i="16"/>
  <c r="F993" i="16"/>
  <c r="F2982" i="16"/>
  <c r="F457" i="16"/>
  <c r="F458" i="16"/>
  <c r="F911" i="16"/>
  <c r="F1350" i="16"/>
  <c r="F859" i="16"/>
  <c r="F471" i="16"/>
  <c r="F235" i="16"/>
  <c r="F236" i="16"/>
  <c r="F509" i="16"/>
  <c r="F391" i="16"/>
  <c r="F304" i="16"/>
  <c r="F208" i="16"/>
  <c r="F147" i="16"/>
  <c r="F94" i="16"/>
  <c r="F2608" i="16"/>
  <c r="F1700" i="16"/>
  <c r="F1699" i="16"/>
  <c r="F200" i="16"/>
  <c r="F1549" i="16"/>
  <c r="F1548" i="16"/>
  <c r="F453" i="16"/>
  <c r="F2861" i="16"/>
  <c r="F2768" i="16"/>
  <c r="F2761" i="16"/>
  <c r="F2673" i="16"/>
  <c r="F2304" i="16"/>
  <c r="F2857" i="16"/>
  <c r="F2674" i="16"/>
  <c r="F2859" i="16"/>
  <c r="F2530" i="16"/>
  <c r="F2807" i="16"/>
  <c r="F2537" i="16"/>
  <c r="F2645" i="16"/>
  <c r="F2549" i="16"/>
  <c r="F2731" i="16"/>
  <c r="F2732" i="16"/>
  <c r="F2561" i="16"/>
  <c r="F2676" i="16"/>
  <c r="F2485" i="16"/>
  <c r="F2224" i="16"/>
  <c r="F2565" i="16"/>
  <c r="F2533" i="16"/>
  <c r="F2518" i="16"/>
  <c r="F2124" i="16"/>
  <c r="F2129" i="16"/>
  <c r="F2200" i="16"/>
  <c r="F2023" i="16"/>
  <c r="F2029" i="16"/>
  <c r="F2371" i="16"/>
  <c r="F2423" i="16"/>
  <c r="F1949" i="16"/>
  <c r="F2065" i="16"/>
  <c r="F2004" i="16"/>
  <c r="F1768" i="16"/>
  <c r="F1871" i="16"/>
  <c r="F2099" i="16"/>
  <c r="F1828" i="16"/>
  <c r="F1671" i="16"/>
  <c r="F1712" i="16"/>
  <c r="F1846" i="16"/>
  <c r="F1799" i="16"/>
  <c r="F1715" i="16"/>
  <c r="F1775" i="16"/>
  <c r="F1421" i="16"/>
  <c r="F1317" i="16"/>
  <c r="F1321" i="16"/>
  <c r="F1322" i="16"/>
  <c r="F1601" i="16"/>
  <c r="F1450" i="16"/>
  <c r="F1430" i="16"/>
  <c r="F1629" i="16"/>
  <c r="F1374" i="16"/>
  <c r="F782" i="16"/>
  <c r="F783" i="16"/>
  <c r="F1061" i="16"/>
  <c r="F1497" i="16"/>
  <c r="F1173" i="16"/>
  <c r="F1090" i="16"/>
  <c r="F1158" i="16"/>
  <c r="F580" i="16"/>
  <c r="F562" i="16"/>
  <c r="F517" i="16"/>
  <c r="F518" i="16"/>
  <c r="F1166" i="16"/>
  <c r="F1286" i="16"/>
  <c r="F739" i="16"/>
  <c r="F628" i="16"/>
  <c r="F293" i="16"/>
  <c r="F271" i="16"/>
  <c r="F887" i="16"/>
  <c r="F1245" i="16"/>
  <c r="F246" i="16"/>
  <c r="F150" i="16"/>
  <c r="F176" i="16"/>
  <c r="F14" i="16"/>
  <c r="F2393" i="16"/>
  <c r="F1501" i="16"/>
  <c r="F2434" i="16"/>
  <c r="F2435" i="16"/>
  <c r="F2752" i="16"/>
  <c r="F2790" i="16"/>
  <c r="F2870" i="16"/>
  <c r="F2472" i="16"/>
  <c r="F2553" i="16"/>
  <c r="F2264" i="16"/>
  <c r="F2294" i="16"/>
  <c r="F2055" i="16"/>
  <c r="F2337" i="16"/>
  <c r="F2107" i="16"/>
  <c r="F1711" i="16"/>
  <c r="F1817" i="16"/>
  <c r="F1818" i="16"/>
  <c r="F1989" i="16"/>
  <c r="F1656" i="16"/>
  <c r="F1820" i="16"/>
  <c r="F1673" i="16"/>
  <c r="F1579" i="16"/>
  <c r="F1179" i="16"/>
  <c r="F1178" i="16"/>
  <c r="F1068" i="16"/>
  <c r="F1067" i="16"/>
  <c r="F1058" i="16"/>
  <c r="F1231" i="16"/>
  <c r="F541" i="16"/>
  <c r="F2163" i="16"/>
  <c r="F377" i="16"/>
  <c r="F378" i="16"/>
  <c r="F846" i="16"/>
  <c r="F571" i="16"/>
  <c r="F283" i="16"/>
  <c r="F284" i="16"/>
  <c r="F590" i="16"/>
  <c r="F155" i="16"/>
  <c r="F156" i="16"/>
  <c r="F338" i="16"/>
  <c r="F337" i="16"/>
  <c r="F481" i="16"/>
  <c r="F275" i="16"/>
  <c r="F90" i="16"/>
  <c r="F300" i="16"/>
  <c r="F2456" i="16"/>
  <c r="F2455" i="16"/>
  <c r="F2918" i="16"/>
  <c r="F2206" i="16"/>
  <c r="F2207" i="16"/>
  <c r="F1779" i="16"/>
  <c r="F2725" i="16"/>
  <c r="F2724" i="16"/>
  <c r="F2927" i="16"/>
  <c r="F2685" i="16"/>
  <c r="F2882" i="16"/>
  <c r="F2497" i="16"/>
  <c r="F2498" i="16"/>
  <c r="F2629" i="16"/>
  <c r="F2376" i="16"/>
  <c r="F2220" i="16"/>
  <c r="F2221" i="16"/>
  <c r="F2186" i="16"/>
  <c r="F2520" i="16"/>
  <c r="F2703" i="16"/>
  <c r="F2184" i="16"/>
  <c r="F2177" i="16"/>
  <c r="F2095" i="16"/>
  <c r="F2226" i="16"/>
  <c r="F2614" i="16"/>
  <c r="F1782" i="16"/>
  <c r="F2281" i="16"/>
  <c r="F2251" i="16"/>
  <c r="F2312" i="16"/>
  <c r="F1675" i="16"/>
  <c r="F1816" i="16"/>
  <c r="F1815" i="16"/>
  <c r="F1901" i="16"/>
  <c r="F1707" i="16"/>
  <c r="F1649" i="16"/>
  <c r="F1545" i="16"/>
  <c r="F1640" i="16"/>
  <c r="F1139" i="16"/>
  <c r="F1138" i="16"/>
  <c r="F1126" i="16"/>
  <c r="F1397" i="16"/>
  <c r="F823" i="16"/>
  <c r="F1122" i="16"/>
  <c r="F999" i="16"/>
  <c r="F1040" i="16"/>
  <c r="F1198" i="16"/>
  <c r="F1029" i="16"/>
  <c r="F203" i="16"/>
  <c r="F204" i="16"/>
  <c r="F634" i="16"/>
  <c r="F439" i="16"/>
  <c r="F479" i="16"/>
  <c r="F333" i="16"/>
  <c r="F198" i="16"/>
  <c r="F264" i="16"/>
  <c r="F1985" i="16"/>
  <c r="F1986" i="16"/>
  <c r="F1440" i="16"/>
  <c r="F1441" i="16"/>
  <c r="F2603" i="16"/>
  <c r="F2604" i="16"/>
  <c r="F1689" i="16"/>
  <c r="F1688" i="16"/>
  <c r="F2854" i="16"/>
  <c r="F2432" i="16"/>
  <c r="F1265" i="16"/>
  <c r="F2774" i="16"/>
  <c r="F2326" i="16"/>
  <c r="F2921" i="16"/>
  <c r="F2696" i="16"/>
  <c r="F2933" i="16"/>
  <c r="F2934" i="16"/>
  <c r="F2647" i="16"/>
  <c r="F2755" i="16"/>
  <c r="F2830" i="16"/>
  <c r="F2951" i="16"/>
  <c r="F2511" i="16"/>
  <c r="F2154" i="16"/>
  <c r="F2217" i="16"/>
  <c r="F2116" i="16"/>
  <c r="F1691" i="16"/>
  <c r="F2290" i="16"/>
  <c r="F1783" i="16"/>
  <c r="F1760" i="16"/>
  <c r="F1569" i="16"/>
  <c r="F1297" i="16"/>
  <c r="F1301" i="16"/>
  <c r="F1302" i="16"/>
  <c r="F1099" i="16"/>
  <c r="F1098" i="16"/>
  <c r="F1476" i="16"/>
  <c r="F1474" i="16"/>
  <c r="F1106" i="16"/>
  <c r="F1491" i="16"/>
  <c r="F1015" i="16"/>
  <c r="F1182" i="16"/>
  <c r="F1181" i="16"/>
  <c r="F978" i="16"/>
  <c r="F1471" i="16"/>
  <c r="F1026" i="16"/>
  <c r="F1025" i="16"/>
  <c r="F1142" i="16"/>
  <c r="F1141" i="16"/>
  <c r="F981" i="16"/>
  <c r="F1398" i="16"/>
  <c r="F2974" i="16"/>
  <c r="F1041" i="16"/>
  <c r="F970" i="16"/>
  <c r="F298" i="16"/>
  <c r="F297" i="16"/>
  <c r="F726" i="16"/>
  <c r="F493" i="16"/>
  <c r="F542" i="16"/>
  <c r="F202" i="16"/>
  <c r="F42" i="16"/>
  <c r="F186" i="16"/>
  <c r="F162" i="16"/>
  <c r="F227" i="16"/>
  <c r="F1795" i="16"/>
  <c r="F1796" i="16"/>
  <c r="F259" i="16"/>
  <c r="F260" i="16"/>
  <c r="F2471" i="16"/>
  <c r="F2523" i="16"/>
  <c r="F2524" i="16"/>
  <c r="F2691" i="16"/>
  <c r="F2981" i="16"/>
  <c r="F2466" i="16"/>
  <c r="F2298" i="16"/>
  <c r="F2074" i="16"/>
  <c r="F2342" i="16"/>
  <c r="F2170" i="16"/>
  <c r="F2171" i="16"/>
  <c r="F2103" i="16"/>
  <c r="F1961" i="16"/>
  <c r="F1960" i="16"/>
  <c r="F1838" i="16"/>
  <c r="F1655" i="16"/>
  <c r="F1835" i="16"/>
  <c r="F1810" i="16"/>
  <c r="F1809" i="16"/>
  <c r="F1620" i="16"/>
  <c r="F1202" i="16"/>
  <c r="F1203" i="16"/>
  <c r="F1454" i="16"/>
  <c r="F1482" i="16"/>
  <c r="F820" i="16"/>
  <c r="F1009" i="16"/>
  <c r="F900" i="16"/>
  <c r="F901" i="16"/>
  <c r="F1298" i="16"/>
  <c r="F1462" i="16"/>
  <c r="F1109" i="16"/>
  <c r="F1004" i="16"/>
  <c r="F996" i="16"/>
  <c r="F932" i="16"/>
  <c r="F652" i="16"/>
  <c r="F653" i="16"/>
  <c r="F641" i="16"/>
  <c r="F1034" i="16"/>
  <c r="F2966" i="16"/>
  <c r="F965" i="16"/>
  <c r="F949" i="16"/>
  <c r="F963" i="16"/>
  <c r="F898" i="16"/>
  <c r="F383" i="16"/>
  <c r="F835" i="16"/>
  <c r="F361" i="16"/>
  <c r="F412" i="16"/>
  <c r="F172" i="16"/>
  <c r="F121" i="16"/>
  <c r="F126" i="16"/>
  <c r="F2644" i="16"/>
  <c r="F2690" i="16"/>
  <c r="F2453" i="16"/>
  <c r="F2454" i="16"/>
  <c r="F2509" i="16"/>
  <c r="F2508" i="16"/>
  <c r="F2736" i="16"/>
  <c r="F2234" i="16"/>
  <c r="F2112" i="16"/>
  <c r="F2113" i="16"/>
  <c r="F2366" i="16"/>
  <c r="F2883" i="16"/>
  <c r="F2097" i="16"/>
  <c r="F1958" i="16"/>
  <c r="F1957" i="16"/>
  <c r="F2299" i="16"/>
  <c r="F2327" i="16"/>
  <c r="F2276" i="16"/>
  <c r="F1831" i="16"/>
  <c r="F1764" i="16"/>
  <c r="F1597" i="16"/>
  <c r="F1596" i="16"/>
  <c r="F1855" i="16"/>
  <c r="F1856" i="16"/>
  <c r="F1771" i="16"/>
  <c r="F1546" i="16"/>
  <c r="F1613" i="16"/>
  <c r="F1587" i="16"/>
  <c r="F1669" i="16"/>
  <c r="F1496" i="16"/>
  <c r="F1263" i="16"/>
  <c r="F1194" i="16"/>
  <c r="F1193" i="16"/>
  <c r="F1451" i="16"/>
  <c r="F1452" i="16"/>
  <c r="F1074" i="16"/>
  <c r="F1162" i="16"/>
  <c r="F951" i="16"/>
  <c r="F1084" i="16"/>
  <c r="F764" i="16"/>
  <c r="F763" i="16"/>
  <c r="F618" i="16"/>
  <c r="F2958" i="16"/>
  <c r="F676" i="16"/>
  <c r="F758" i="16"/>
  <c r="F778" i="16"/>
  <c r="F489" i="16"/>
  <c r="F602" i="16"/>
  <c r="F118" i="16"/>
  <c r="F158" i="16"/>
  <c r="F399" i="16"/>
  <c r="F420" i="16"/>
  <c r="F2611" i="16"/>
  <c r="F2612" i="16"/>
  <c r="F2639" i="16"/>
  <c r="F2640" i="16"/>
  <c r="F2826" i="16"/>
  <c r="F2825" i="16"/>
  <c r="F2447" i="16"/>
  <c r="F2670" i="16"/>
  <c r="F2390" i="16"/>
  <c r="F2260" i="16"/>
  <c r="F2057" i="16"/>
  <c r="F2056" i="16"/>
  <c r="F2146" i="16"/>
  <c r="F2050" i="16"/>
  <c r="F1935" i="16"/>
  <c r="F2187" i="16"/>
  <c r="F1560" i="16"/>
  <c r="F1561" i="16"/>
  <c r="F1878" i="16"/>
  <c r="F1525" i="16"/>
  <c r="F1446" i="16"/>
  <c r="F1564" i="16"/>
  <c r="F1638" i="16"/>
  <c r="F1660" i="16"/>
  <c r="F1154" i="16"/>
  <c r="F1153" i="16"/>
  <c r="F1215" i="16"/>
  <c r="F1281" i="16"/>
  <c r="F1282" i="16"/>
  <c r="F1447" i="16"/>
  <c r="F943" i="16"/>
  <c r="F942" i="16"/>
  <c r="F881" i="16"/>
  <c r="F882" i="16"/>
  <c r="F1149" i="16"/>
  <c r="F1234" i="16"/>
  <c r="F946" i="16"/>
  <c r="F945" i="16"/>
  <c r="F1079" i="16"/>
  <c r="F1066" i="16"/>
  <c r="F810" i="16"/>
  <c r="F1502" i="16"/>
  <c r="F1527" i="16"/>
  <c r="F923" i="16"/>
  <c r="F1191" i="16"/>
  <c r="F1190" i="16"/>
  <c r="F756" i="16"/>
  <c r="F622" i="16"/>
  <c r="F326" i="16"/>
  <c r="F194" i="16"/>
  <c r="F191" i="16"/>
  <c r="F98" i="16"/>
  <c r="F66" i="16"/>
  <c r="F102" i="16"/>
  <c r="F328" i="16"/>
  <c r="F222" i="16"/>
  <c r="F221" i="16"/>
  <c r="F2929" i="16"/>
  <c r="F3002" i="16"/>
  <c r="F2599" i="16"/>
  <c r="F2600" i="16"/>
  <c r="F2490" i="16"/>
  <c r="F2606" i="16"/>
  <c r="F2512" i="16"/>
  <c r="F2166" i="16"/>
  <c r="F2025" i="16"/>
  <c r="F2026" i="16"/>
  <c r="F2180" i="16"/>
  <c r="F2247" i="16"/>
  <c r="F1996" i="16"/>
  <c r="F1739" i="16"/>
  <c r="F1738" i="16"/>
  <c r="F1793" i="16"/>
  <c r="F1576" i="16"/>
  <c r="F1575" i="16"/>
  <c r="F1425" i="16"/>
  <c r="F1424" i="16"/>
  <c r="F1488" i="16"/>
  <c r="F1723" i="16"/>
  <c r="F1047" i="16"/>
  <c r="F1046" i="16"/>
  <c r="F1189" i="16"/>
  <c r="F1333" i="16"/>
  <c r="F724" i="16"/>
  <c r="F723" i="16"/>
  <c r="F919" i="16"/>
  <c r="F918" i="16"/>
  <c r="F896" i="16"/>
  <c r="F749" i="16"/>
  <c r="F939" i="16"/>
  <c r="F1102" i="16"/>
  <c r="F1101" i="16"/>
  <c r="F921" i="16"/>
  <c r="F906" i="16"/>
  <c r="F766" i="16"/>
  <c r="F712" i="16"/>
  <c r="F610" i="16"/>
  <c r="F531" i="16"/>
  <c r="F368" i="16"/>
  <c r="F219" i="16"/>
  <c r="F311" i="16"/>
  <c r="F521" i="16"/>
  <c r="F18" i="16"/>
  <c r="F252" i="16"/>
  <c r="F22" i="16"/>
  <c r="F74" i="16"/>
  <c r="F2892" i="16"/>
  <c r="F2546" i="16"/>
  <c r="F1414" i="16"/>
  <c r="F1020" i="16"/>
  <c r="F850" i="16"/>
  <c r="F2465" i="16"/>
  <c r="F2889" i="16"/>
  <c r="F2571" i="16"/>
  <c r="F2394" i="16"/>
  <c r="F2812" i="16"/>
  <c r="F2310" i="16"/>
  <c r="F2348" i="16"/>
  <c r="F2349" i="16"/>
  <c r="F2818" i="16"/>
  <c r="F2080" i="16"/>
  <c r="F2081" i="16"/>
  <c r="F2661" i="16"/>
  <c r="F2307" i="16"/>
  <c r="F1860" i="16"/>
  <c r="F2137" i="16"/>
  <c r="F2072" i="16"/>
  <c r="F1927" i="16"/>
  <c r="F1843" i="16"/>
  <c r="F1751" i="16"/>
  <c r="F1729" i="16"/>
  <c r="F1599" i="16"/>
  <c r="F1571" i="16"/>
  <c r="F1510" i="16"/>
  <c r="F1511" i="16"/>
  <c r="F1663" i="16"/>
  <c r="F1553" i="16"/>
  <c r="F1652" i="16"/>
  <c r="F1249" i="16"/>
  <c r="F1389" i="16"/>
  <c r="F1315" i="16"/>
  <c r="F1382" i="16"/>
  <c r="F1521" i="16"/>
  <c r="F1513" i="16"/>
  <c r="F1259" i="16"/>
  <c r="F613" i="16"/>
  <c r="F614" i="16"/>
  <c r="F1338" i="16"/>
  <c r="F683" i="16"/>
  <c r="F684" i="16"/>
  <c r="F816" i="16"/>
  <c r="F1294" i="16"/>
  <c r="F874" i="16"/>
  <c r="F669" i="16"/>
  <c r="F790" i="16"/>
  <c r="F826" i="16"/>
  <c r="F646" i="16"/>
  <c r="F606" i="16"/>
  <c r="F690" i="16"/>
  <c r="F578" i="16"/>
  <c r="F463" i="16"/>
  <c r="F313" i="16"/>
  <c r="F330" i="16"/>
  <c r="F507" i="16"/>
  <c r="F425" i="16"/>
  <c r="F353" i="16"/>
  <c r="F266" i="16"/>
  <c r="F2672" i="16"/>
  <c r="F10" i="16"/>
  <c r="F2998" i="16"/>
  <c r="F640" i="16"/>
  <c r="F2969" i="16"/>
  <c r="F1405" i="16"/>
  <c r="F2893" i="16"/>
  <c r="F2816" i="16"/>
  <c r="F2972" i="16"/>
  <c r="F2800" i="16"/>
  <c r="F2914" i="16"/>
  <c r="F2942" i="16"/>
  <c r="F2697" i="16"/>
  <c r="F2597" i="16"/>
  <c r="F2625" i="16"/>
  <c r="F2779" i="16"/>
  <c r="F2802" i="16"/>
  <c r="F2801" i="16"/>
  <c r="F2544" i="16"/>
  <c r="F3005" i="16"/>
  <c r="F2909" i="16"/>
  <c r="F2945" i="16"/>
  <c r="F2564" i="16"/>
  <c r="F2986" i="16"/>
  <c r="F2567" i="16"/>
  <c r="F2877" i="16"/>
  <c r="F2557" i="16"/>
  <c r="F2946" i="16"/>
  <c r="F2409" i="16"/>
  <c r="F2626" i="16"/>
  <c r="F2756" i="16"/>
  <c r="F2757" i="16"/>
  <c r="F2526" i="16"/>
  <c r="F2261" i="16"/>
  <c r="F1964" i="16"/>
  <c r="F1954" i="16"/>
  <c r="F2231" i="16"/>
  <c r="F1981" i="16"/>
  <c r="F2109" i="16"/>
  <c r="F1836" i="16"/>
  <c r="F1725" i="16"/>
  <c r="F1719" i="16"/>
  <c r="F1903" i="16"/>
  <c r="F1709" i="16"/>
  <c r="F1708" i="16"/>
  <c r="F2155" i="16"/>
  <c r="F1556" i="16"/>
  <c r="F1533" i="16"/>
  <c r="F1574" i="16"/>
  <c r="F1589" i="16"/>
  <c r="F1547" i="16"/>
  <c r="F1469" i="16"/>
  <c r="F1093" i="16"/>
  <c r="F1284" i="16"/>
  <c r="F1434" i="16"/>
  <c r="F839" i="16"/>
  <c r="F1118" i="16"/>
  <c r="F1448" i="16"/>
  <c r="F1330" i="16"/>
  <c r="F1415" i="16"/>
  <c r="F1370" i="16"/>
  <c r="F1319" i="16"/>
  <c r="F586" i="16"/>
  <c r="F674" i="16"/>
  <c r="F644" i="16"/>
  <c r="F105" i="16"/>
  <c r="F106" i="16"/>
  <c r="F279" i="16"/>
  <c r="F384" i="16"/>
  <c r="F576" i="16"/>
  <c r="F282" i="16"/>
  <c r="F371" i="16"/>
  <c r="F86" i="16"/>
  <c r="F24" i="15"/>
  <c r="M10" i="15"/>
  <c r="F18" i="17" l="1"/>
  <c r="L18" i="17" s="1"/>
  <c r="M18" i="17" s="1"/>
  <c r="F17" i="17"/>
  <c r="L17" i="17" s="1"/>
  <c r="M17" i="17" s="1"/>
  <c r="F3" i="16"/>
  <c r="F12" i="15"/>
  <c r="L12" i="15" s="1"/>
  <c r="M12" i="15" s="1"/>
  <c r="F11" i="15"/>
  <c r="L11" i="15" s="1"/>
  <c r="M11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" authorId="0" shapeId="0" xr:uid="{47C6DC0F-BEBD-4E4E-8839-67A0CD028B3E}">
      <text>
        <r>
          <rPr>
            <b/>
            <sz val="9"/>
            <color indexed="81"/>
            <rFont val="宋体"/>
            <family val="3"/>
            <charset val="134"/>
          </rPr>
          <t>必须是100的倍数
非100的数,程序会做插值</t>
        </r>
      </text>
    </comment>
    <comment ref="B3" authorId="0" shapeId="0" xr:uid="{C6F07F70-1A81-4ED8-B571-CE9C3892FFA9}">
      <text>
        <r>
          <rPr>
            <b/>
            <sz val="9"/>
            <color indexed="81"/>
            <rFont val="宋体"/>
            <family val="3"/>
            <charset val="134"/>
          </rPr>
          <t>用的时候除以10000</t>
        </r>
      </text>
    </comment>
    <comment ref="C3" authorId="0" shapeId="0" xr:uid="{D82BE9C6-7E56-4A65-912D-BB65F92C0219}">
      <text>
        <r>
          <rPr>
            <b/>
            <sz val="9"/>
            <color indexed="81"/>
            <rFont val="宋体"/>
            <family val="3"/>
            <charset val="134"/>
          </rPr>
          <t>用的时候除以10000</t>
        </r>
      </text>
    </comment>
  </commentList>
</comments>
</file>

<file path=xl/sharedStrings.xml><?xml version="1.0" encoding="utf-8"?>
<sst xmlns="http://schemas.openxmlformats.org/spreadsheetml/2006/main" count="615" uniqueCount="307">
  <si>
    <t>攻击</t>
  </si>
  <si>
    <t>防御</t>
  </si>
  <si>
    <t>智力</t>
  </si>
  <si>
    <t>速度</t>
  </si>
  <si>
    <t>步</t>
  </si>
  <si>
    <t>智力攻击</t>
  </si>
  <si>
    <t>骑</t>
  </si>
  <si>
    <t>弓</t>
  </si>
  <si>
    <t>防守</t>
  </si>
  <si>
    <t>智力防御</t>
  </si>
  <si>
    <t>类型</t>
  </si>
  <si>
    <t>攻方</t>
  </si>
  <si>
    <t>兵力</t>
  </si>
  <si>
    <t>映射</t>
  </si>
  <si>
    <t>兵种克制</t>
  </si>
  <si>
    <t>增减伤</t>
  </si>
  <si>
    <t>守方</t>
  </si>
  <si>
    <t>伤害率</t>
  </si>
  <si>
    <t>影响率</t>
  </si>
  <si>
    <t>士气</t>
  </si>
  <si>
    <t>固定</t>
  </si>
  <si>
    <t>非固定</t>
  </si>
  <si>
    <t>总伤害</t>
  </si>
  <si>
    <t>误差</t>
  </si>
  <si>
    <t>普攻</t>
  </si>
  <si>
    <t>织田</t>
  </si>
  <si>
    <t>华莱士</t>
  </si>
  <si>
    <t>战术</t>
  </si>
  <si>
    <t>物理</t>
  </si>
  <si>
    <t>攻击方增伤</t>
  </si>
  <si>
    <t>受击方减伤</t>
  </si>
  <si>
    <t>最终增减伤</t>
  </si>
  <si>
    <t>减伤外移比例</t>
  </si>
  <si>
    <t>攻击方新红度增伤</t>
  </si>
  <si>
    <t>受击方新红度减伤</t>
  </si>
  <si>
    <t>实际兵力映射</t>
  </si>
  <si>
    <t>√兵力</t>
  </si>
  <si>
    <t>比例</t>
  </si>
  <si>
    <t>兵力区间</t>
  </si>
  <si>
    <t>调节系数</t>
  </si>
  <si>
    <t>查询兵力</t>
  </si>
  <si>
    <t>原始</t>
  </si>
  <si>
    <t>实际映射</t>
  </si>
  <si>
    <t>ID</t>
  </si>
  <si>
    <t>英雄名</t>
  </si>
  <si>
    <t>所罗门王</t>
  </si>
  <si>
    <t>庞培</t>
  </si>
  <si>
    <t>克拉苏</t>
  </si>
  <si>
    <t>布狄卡</t>
  </si>
  <si>
    <t>雷必达</t>
  </si>
  <si>
    <t>腓力二世</t>
  </si>
  <si>
    <t>公输班</t>
  </si>
  <si>
    <t>莱山德</t>
  </si>
  <si>
    <t>费边</t>
  </si>
  <si>
    <t>沙普尔一世</t>
  </si>
  <si>
    <t>埃赫那吞</t>
  </si>
  <si>
    <t>小西庇阿</t>
  </si>
  <si>
    <t>老加图</t>
  </si>
  <si>
    <t>托勒密</t>
  </si>
  <si>
    <t>秦琼</t>
  </si>
  <si>
    <t>周瑜</t>
  </si>
  <si>
    <t>黄盖</t>
  </si>
  <si>
    <t>虞姬</t>
  </si>
  <si>
    <t>苏秦</t>
  </si>
  <si>
    <t>张仪</t>
  </si>
  <si>
    <t>吕蒙</t>
  </si>
  <si>
    <t>王翦</t>
  </si>
  <si>
    <t>项燕</t>
  </si>
  <si>
    <t>廉颇</t>
  </si>
  <si>
    <t>夏侯</t>
  </si>
  <si>
    <t>范增</t>
  </si>
  <si>
    <t>田单</t>
  </si>
  <si>
    <t>项庄</t>
  </si>
  <si>
    <t>斐迪庇第斯</t>
  </si>
  <si>
    <t>阿基米德</t>
  </si>
  <si>
    <t>德雷克</t>
  </si>
  <si>
    <t>彼得大帝</t>
  </si>
  <si>
    <t>约瑟芬皇后</t>
  </si>
  <si>
    <t>路易十四</t>
  </si>
  <si>
    <t>雅德维加</t>
  </si>
  <si>
    <t>墨子</t>
  </si>
  <si>
    <t>威廉·马歇尔</t>
  </si>
  <si>
    <t>罗兰</t>
  </si>
  <si>
    <t>贝利撒留</t>
  </si>
  <si>
    <t>利奥三世</t>
  </si>
  <si>
    <t>纳尔塞斯</t>
  </si>
  <si>
    <t>克洛维</t>
  </si>
  <si>
    <t>塔玛拉</t>
  </si>
  <si>
    <t>阿姆拉克</t>
  </si>
  <si>
    <t>蒂雷纳子爵</t>
  </si>
  <si>
    <t>亨利二世</t>
  </si>
  <si>
    <t>丕平</t>
  </si>
  <si>
    <t>布吕歇尔</t>
  </si>
  <si>
    <t>冯·弗伦兹贝格</t>
  </si>
  <si>
    <t>猛狮亨利</t>
  </si>
  <si>
    <t>霍雷肖·盖茨</t>
  </si>
  <si>
    <t>理查德·蒙哥马利</t>
  </si>
  <si>
    <t>丹尼尔·摩根</t>
  </si>
  <si>
    <t>阿市</t>
  </si>
  <si>
    <t>明智光秀</t>
  </si>
  <si>
    <t>静御前</t>
  </si>
  <si>
    <t>北条时宗</t>
  </si>
  <si>
    <t>特丽布瓦娜</t>
  </si>
  <si>
    <t>本多忠胜</t>
  </si>
  <si>
    <t>柴田胜家</t>
  </si>
  <si>
    <t>圣德太子</t>
  </si>
  <si>
    <t>小野妹子</t>
  </si>
  <si>
    <t>泷川一益</t>
  </si>
  <si>
    <t>金法敏</t>
  </si>
  <si>
    <t>金庾信</t>
  </si>
  <si>
    <t>金春秋</t>
  </si>
  <si>
    <t>拓俊京</t>
  </si>
  <si>
    <t>姜邯赞</t>
  </si>
  <si>
    <t>论介</t>
  </si>
  <si>
    <t>旭烈兀</t>
  </si>
  <si>
    <t>库佩</t>
  </si>
  <si>
    <t>恰卡</t>
  </si>
  <si>
    <t>诃额伦夫人</t>
  </si>
  <si>
    <t>速不台</t>
  </si>
  <si>
    <t>娜芙蒂蒂</t>
  </si>
  <si>
    <t>安娜·恩津加</t>
  </si>
  <si>
    <t>莱芙扎茹</t>
  </si>
  <si>
    <t>帕查库特克</t>
  </si>
  <si>
    <t>图坦卡蒙</t>
  </si>
  <si>
    <t>恺撒</t>
  </si>
  <si>
    <t>克利欧佩特拉</t>
  </si>
  <si>
    <t>马克·安东尼</t>
  </si>
  <si>
    <t>斯巴达克斯</t>
  </si>
  <si>
    <t>伯里克利</t>
  </si>
  <si>
    <t>亚历山大</t>
  </si>
  <si>
    <t>吉尔伽美什</t>
  </si>
  <si>
    <t>大卫王</t>
  </si>
  <si>
    <t>狄多女王</t>
  </si>
  <si>
    <t>李奥尼达</t>
  </si>
  <si>
    <t>查理·马特</t>
  </si>
  <si>
    <t>拉美西斯</t>
  </si>
  <si>
    <t>伊莎贝拉一世</t>
  </si>
  <si>
    <t>塞米勒米斯</t>
  </si>
  <si>
    <t>玻利瓦尔</t>
  </si>
  <si>
    <t>诸葛亮</t>
  </si>
  <si>
    <t>曹操</t>
  </si>
  <si>
    <t>司马懿</t>
  </si>
  <si>
    <t>白起</t>
  </si>
  <si>
    <t>韩信</t>
  </si>
  <si>
    <t>木兰</t>
  </si>
  <si>
    <t>武则天</t>
  </si>
  <si>
    <t>西施</t>
  </si>
  <si>
    <t>王昭君</t>
  </si>
  <si>
    <t>秦始皇</t>
  </si>
  <si>
    <t>蒙恬</t>
  </si>
  <si>
    <t>刘备</t>
  </si>
  <si>
    <t>关羽</t>
  </si>
  <si>
    <t>项羽</t>
  </si>
  <si>
    <t>孙武</t>
  </si>
  <si>
    <t>卫青</t>
  </si>
  <si>
    <t>霍去病</t>
  </si>
  <si>
    <t>张飞</t>
  </si>
  <si>
    <t>汉武帝</t>
  </si>
  <si>
    <t>贞德</t>
  </si>
  <si>
    <t>查理曼</t>
  </si>
  <si>
    <t>拿破仑</t>
  </si>
  <si>
    <t>陆逊</t>
  </si>
  <si>
    <t>鲁肃</t>
  </si>
  <si>
    <t>理查一世</t>
  </si>
  <si>
    <t>维多利亚</t>
  </si>
  <si>
    <t>威廉·华莱士</t>
  </si>
  <si>
    <t>熙德</t>
  </si>
  <si>
    <t>萨拉丁</t>
  </si>
  <si>
    <t>腓特烈一世</t>
  </si>
  <si>
    <t>武田信玄</t>
  </si>
  <si>
    <t>威灵顿公爵</t>
  </si>
  <si>
    <t>埃莉诺</t>
  </si>
  <si>
    <t>俾斯麦</t>
  </si>
  <si>
    <t>特蕾莎</t>
  </si>
  <si>
    <t>乔治·华盛顿</t>
  </si>
  <si>
    <t>纳撒内尔</t>
  </si>
  <si>
    <t>卡齐米日</t>
  </si>
  <si>
    <t>伊丽莎白女王</t>
  </si>
  <si>
    <t>哥伦布</t>
  </si>
  <si>
    <t>卡塔琳娜</t>
  </si>
  <si>
    <t>安妮·波妮</t>
  </si>
  <si>
    <t>织田信长</t>
  </si>
  <si>
    <t>宫本武藏</t>
  </si>
  <si>
    <t>库图佐夫</t>
  </si>
  <si>
    <t>源义经</t>
  </si>
  <si>
    <t>卑弥呼</t>
  </si>
  <si>
    <t>世宗大王</t>
  </si>
  <si>
    <t>善德女王</t>
  </si>
  <si>
    <t>真田幸村</t>
  </si>
  <si>
    <t>丰臣秀吉</t>
  </si>
  <si>
    <t>李舜臣</t>
  </si>
  <si>
    <t>阶伯</t>
  </si>
  <si>
    <t>李成桂</t>
  </si>
  <si>
    <t>大长今</t>
  </si>
  <si>
    <t>柳成龙</t>
  </si>
  <si>
    <t>托米丽司</t>
  </si>
  <si>
    <t>蒙特祖玛</t>
  </si>
  <si>
    <t>图特摩斯三世</t>
  </si>
  <si>
    <t>汉尼拔·巴卡</t>
  </si>
  <si>
    <t>哈兰德</t>
  </si>
  <si>
    <t>阔阔真</t>
  </si>
  <si>
    <t>曼沙·穆萨</t>
  </si>
  <si>
    <t>居鲁士大帝</t>
  </si>
  <si>
    <t>阿尔特米西亚</t>
  </si>
  <si>
    <t>克里斯蒂娜</t>
  </si>
  <si>
    <t>许褚</t>
  </si>
  <si>
    <t>哈拉德</t>
  </si>
  <si>
    <t>之前赛季</t>
  </si>
  <si>
    <t>现属赛季</t>
  </si>
  <si>
    <t>英雄</t>
  </si>
  <si>
    <t>T级</t>
  </si>
  <si>
    <t>S2</t>
  </si>
  <si>
    <t>S2-4</t>
  </si>
  <si>
    <t>核心</t>
  </si>
  <si>
    <t>精英</t>
  </si>
  <si>
    <t>S3</t>
  </si>
  <si>
    <t>S3-3</t>
  </si>
  <si>
    <t>S4</t>
  </si>
  <si>
    <t>安妮波尼</t>
  </si>
  <si>
    <t>朱元璋</t>
  </si>
  <si>
    <t>戚继光</t>
  </si>
  <si>
    <t>王阳明</t>
  </si>
  <si>
    <t>牛顿</t>
  </si>
  <si>
    <t>希帕蒂娅</t>
  </si>
  <si>
    <t>泰勒斯</t>
  </si>
  <si>
    <t>郑和</t>
  </si>
  <si>
    <t>郑成功</t>
  </si>
  <si>
    <t>芝诺比亚</t>
  </si>
  <si>
    <t>埃里克松</t>
  </si>
  <si>
    <t>限时</t>
  </si>
  <si>
    <t>T1.5定位</t>
  </si>
  <si>
    <t>限时（无标签）</t>
  </si>
  <si>
    <t>鬼谷子</t>
  </si>
  <si>
    <t>姜子牙</t>
  </si>
  <si>
    <t>达尔文</t>
  </si>
  <si>
    <t>皮肤</t>
  </si>
  <si>
    <t>攻击增伤</t>
  </si>
  <si>
    <t>智力增伤</t>
  </si>
  <si>
    <t>攻击减伤</t>
  </si>
  <si>
    <t>智力减伤</t>
  </si>
  <si>
    <t>古代</t>
  </si>
  <si>
    <t>pass4</t>
  </si>
  <si>
    <t>克里欧佩特拉</t>
  </si>
  <si>
    <t>神话</t>
  </si>
  <si>
    <t>现代</t>
  </si>
  <si>
    <t>未来</t>
  </si>
  <si>
    <t>凯撒</t>
  </si>
  <si>
    <t>1星</t>
  </si>
  <si>
    <t>2星</t>
  </si>
  <si>
    <t>3星</t>
  </si>
  <si>
    <t>4星</t>
  </si>
  <si>
    <t>5星</t>
  </si>
  <si>
    <t>火器时代PVP红度加成</t>
  </si>
  <si>
    <t>UnitNum</t>
    <phoneticPr fontId="21" type="noConversion"/>
  </si>
  <si>
    <t>Power</t>
    <phoneticPr fontId="21" type="noConversion"/>
  </si>
  <si>
    <t>Power_Dmg</t>
    <phoneticPr fontId="21" type="noConversion"/>
  </si>
  <si>
    <t>Coe</t>
    <phoneticPr fontId="21" type="noConversion"/>
  </si>
  <si>
    <t>Base</t>
    <phoneticPr fontId="21" type="noConversion"/>
  </si>
  <si>
    <t>Check</t>
    <phoneticPr fontId="21" type="noConversion"/>
  </si>
  <si>
    <t>INT32</t>
    <phoneticPr fontId="21" type="noConversion"/>
  </si>
  <si>
    <t>STRING</t>
    <phoneticPr fontId="21" type="noConversion"/>
  </si>
  <si>
    <t>单兵数量</t>
    <phoneticPr fontId="21" type="noConversion"/>
  </si>
  <si>
    <t>映射值</t>
    <phoneticPr fontId="21" type="noConversion"/>
  </si>
  <si>
    <t>伤害用_映射值</t>
    <phoneticPr fontId="21" type="noConversion"/>
  </si>
  <si>
    <t>调节系数</t>
    <phoneticPr fontId="21" type="noConversion"/>
  </si>
  <si>
    <t>基础</t>
    <phoneticPr fontId="21" type="noConversion"/>
  </si>
  <si>
    <t>PrimaryKey</t>
    <phoneticPr fontId="23" type="noConversion"/>
  </si>
  <si>
    <t>Skip</t>
    <phoneticPr fontId="21" type="noConversion"/>
  </si>
  <si>
    <t>兵力单位</t>
    <phoneticPr fontId="22" type="noConversion"/>
  </si>
  <si>
    <t>Ａ属性</t>
    <phoneticPr fontId="21" type="noConversion"/>
  </si>
  <si>
    <t>B属性</t>
    <phoneticPr fontId="21" type="noConversion"/>
  </si>
  <si>
    <t>智力</t>
    <phoneticPr fontId="21" type="noConversion"/>
  </si>
  <si>
    <t xml:space="preserve">            </t>
    <phoneticPr fontId="21" type="noConversion"/>
  </si>
  <si>
    <t>贞德</t>
    <phoneticPr fontId="21" type="noConversion"/>
  </si>
  <si>
    <t>周瑜5星</t>
  </si>
  <si>
    <t>X2</t>
    <phoneticPr fontId="21" type="noConversion"/>
  </si>
  <si>
    <t>X1</t>
    <phoneticPr fontId="21" type="noConversion"/>
  </si>
  <si>
    <t>X2.5</t>
    <phoneticPr fontId="21" type="noConversion"/>
  </si>
  <si>
    <t>X3</t>
    <phoneticPr fontId="21" type="noConversion"/>
  </si>
  <si>
    <t>王莽</t>
    <phoneticPr fontId="21" type="noConversion"/>
  </si>
  <si>
    <t>刘秀</t>
    <phoneticPr fontId="21" type="noConversion"/>
  </si>
  <si>
    <t>伽利略</t>
    <phoneticPr fontId="21" type="noConversion"/>
  </si>
  <si>
    <t>至臻英雄增减伤加成2%</t>
    <phoneticPr fontId="21" type="noConversion"/>
  </si>
  <si>
    <t>新S3-3</t>
    <phoneticPr fontId="21" type="noConversion"/>
  </si>
  <si>
    <t>X3（第六批）</t>
    <phoneticPr fontId="21" type="noConversion"/>
  </si>
  <si>
    <t>X2.5（第五批）</t>
    <phoneticPr fontId="21" type="noConversion"/>
  </si>
  <si>
    <t>X2（第四批）</t>
    <phoneticPr fontId="21" type="noConversion"/>
  </si>
  <si>
    <t>X1（第三批）</t>
    <phoneticPr fontId="21" type="noConversion"/>
  </si>
  <si>
    <t>陆逊</t>
    <phoneticPr fontId="21" type="noConversion"/>
  </si>
  <si>
    <t>鲁肃</t>
    <phoneticPr fontId="21" type="noConversion"/>
  </si>
  <si>
    <t>哥伦布</t>
    <phoneticPr fontId="21" type="noConversion"/>
  </si>
  <si>
    <t>牛顿</t>
    <phoneticPr fontId="21" type="noConversion"/>
  </si>
  <si>
    <t>希帕蒂娅</t>
    <phoneticPr fontId="21" type="noConversion"/>
  </si>
  <si>
    <t>泰勒斯</t>
    <phoneticPr fontId="21" type="noConversion"/>
  </si>
  <si>
    <t>孔子</t>
    <phoneticPr fontId="21" type="noConversion"/>
  </si>
  <si>
    <t>李靖</t>
    <phoneticPr fontId="21" type="noConversion"/>
  </si>
  <si>
    <t>叶卡捷琳娜</t>
    <phoneticPr fontId="21" type="noConversion"/>
  </si>
  <si>
    <t xml:space="preserve"> </t>
    <phoneticPr fontId="21" type="noConversion"/>
  </si>
  <si>
    <t>兵力</t>
    <phoneticPr fontId="21" type="noConversion"/>
  </si>
  <si>
    <t>门农</t>
    <phoneticPr fontId="21" type="noConversion"/>
  </si>
  <si>
    <t>士气</t>
    <phoneticPr fontId="21" type="noConversion"/>
  </si>
  <si>
    <t>兵种克制</t>
    <phoneticPr fontId="21" type="noConversion"/>
  </si>
  <si>
    <t>X3.2（第七批）</t>
    <phoneticPr fontId="21" type="noConversion"/>
  </si>
  <si>
    <t>芝诺比娅</t>
  </si>
  <si>
    <t>X3.3（第八批）</t>
    <phoneticPr fontId="21" type="noConversion"/>
  </si>
  <si>
    <t>至臻暗能量3%</t>
    <phoneticPr fontId="21" type="noConversion"/>
  </si>
  <si>
    <t>王允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</si>
</sst>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%"/>
    <numFmt numFmtId="177" formatCode="0.000"/>
    <numFmt numFmtId="178" formatCode="0.0_ "/>
    <numFmt numFmtId="179" formatCode="0_ "/>
    <numFmt numFmtId="180" formatCode="0.00_);[Red]\(0.00\)"/>
    <numFmt numFmtId="181" formatCode="0.0000_ "/>
    <numFmt numFmtId="182" formatCode="0.0000"/>
  </numFmts>
  <fonts count="26">
    <font>
      <sz val="11"/>
      <color theme="1"/>
      <name val="等线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6"/>
      <color theme="1"/>
      <name val="等线"/>
      <family val="3"/>
      <charset val="134"/>
      <scheme val="minor"/>
    </font>
    <font>
      <b/>
      <sz val="18"/>
      <color rgb="FF000000"/>
      <name val="等线"/>
      <family val="3"/>
      <charset val="134"/>
      <scheme val="minor"/>
    </font>
    <font>
      <sz val="16"/>
      <color rgb="FF000000"/>
      <name val="等线"/>
      <family val="3"/>
      <charset val="134"/>
      <scheme val="minor"/>
    </font>
    <font>
      <sz val="16"/>
      <color rgb="FF182B50"/>
      <name val="PingFang SC"/>
      <family val="1"/>
    </font>
    <font>
      <b/>
      <sz val="10"/>
      <color rgb="FF000000"/>
      <name val="等线"/>
      <family val="3"/>
      <charset val="134"/>
      <scheme val="minor"/>
    </font>
    <font>
      <b/>
      <sz val="10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sz val="11"/>
      <color rgb="FF00B05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indexed="8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319B62"/>
        <bgColor indexed="64"/>
      </patternFill>
    </fill>
    <fill>
      <patternFill patternType="solid">
        <fgColor rgb="FFC7DCFF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9E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0" fillId="0" borderId="0" applyFont="0" applyFill="0" applyBorder="0" applyAlignment="0" applyProtection="0">
      <alignment vertical="center"/>
    </xf>
  </cellStyleXfs>
  <cellXfs count="7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0" fillId="2" borderId="0" xfId="0" applyFill="1"/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3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0" fillId="7" borderId="0" xfId="0" applyFill="1"/>
    <xf numFmtId="0" fontId="11" fillId="7" borderId="0" xfId="0" applyFont="1" applyFill="1"/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/>
    </xf>
    <xf numFmtId="176" fontId="0" fillId="0" borderId="0" xfId="1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4" fillId="0" borderId="0" xfId="0" applyFont="1"/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77" fontId="14" fillId="0" borderId="0" xfId="0" applyNumberFormat="1" applyFont="1" applyAlignment="1">
      <alignment horizontal="center"/>
    </xf>
    <xf numFmtId="9" fontId="15" fillId="0" borderId="0" xfId="0" applyNumberFormat="1" applyFont="1" applyAlignment="1">
      <alignment horizontal="center"/>
    </xf>
    <xf numFmtId="9" fontId="14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77" fontId="0" fillId="0" borderId="0" xfId="0" applyNumberFormat="1" applyAlignment="1">
      <alignment horizontal="center"/>
    </xf>
    <xf numFmtId="9" fontId="16" fillId="0" borderId="0" xfId="0" applyNumberFormat="1" applyFont="1" applyAlignment="1">
      <alignment horizontal="center"/>
    </xf>
    <xf numFmtId="9" fontId="11" fillId="0" borderId="0" xfId="0" applyNumberFormat="1" applyFont="1" applyAlignment="1">
      <alignment horizontal="center"/>
    </xf>
    <xf numFmtId="9" fontId="0" fillId="11" borderId="0" xfId="0" applyNumberFormat="1" applyFill="1" applyAlignment="1">
      <alignment horizontal="center"/>
    </xf>
    <xf numFmtId="9" fontId="0" fillId="12" borderId="0" xfId="0" applyNumberFormat="1" applyFill="1"/>
    <xf numFmtId="9" fontId="0" fillId="0" borderId="0" xfId="0" applyNumberFormat="1"/>
    <xf numFmtId="0" fontId="17" fillId="0" borderId="0" xfId="0" applyFont="1" applyAlignment="1">
      <alignment horizontal="center"/>
    </xf>
    <xf numFmtId="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78" fontId="14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/>
    </xf>
    <xf numFmtId="179" fontId="15" fillId="0" borderId="0" xfId="0" applyNumberFormat="1" applyFont="1" applyAlignment="1">
      <alignment horizontal="center"/>
    </xf>
    <xf numFmtId="180" fontId="11" fillId="0" borderId="0" xfId="0" applyNumberFormat="1" applyFont="1" applyAlignment="1">
      <alignment horizontal="center"/>
    </xf>
    <xf numFmtId="178" fontId="0" fillId="0" borderId="0" xfId="0" applyNumberFormat="1" applyAlignment="1">
      <alignment horizontal="center"/>
    </xf>
    <xf numFmtId="179" fontId="16" fillId="0" borderId="0" xfId="0" applyNumberFormat="1" applyFont="1" applyAlignment="1">
      <alignment horizontal="center"/>
    </xf>
    <xf numFmtId="181" fontId="11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0" fillId="0" borderId="1" xfId="0" applyBorder="1" applyAlignment="1">
      <alignment horizontal="center"/>
    </xf>
    <xf numFmtId="10" fontId="0" fillId="13" borderId="1" xfId="1" applyNumberFormat="1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182" fontId="0" fillId="13" borderId="1" xfId="0" applyNumberFormat="1" applyFill="1" applyBorder="1" applyAlignment="1">
      <alignment horizontal="center"/>
    </xf>
    <xf numFmtId="10" fontId="0" fillId="13" borderId="0" xfId="1" applyNumberFormat="1" applyFont="1" applyFill="1" applyAlignment="1">
      <alignment horizontal="center"/>
    </xf>
    <xf numFmtId="0" fontId="0" fillId="13" borderId="0" xfId="0" applyFill="1" applyAlignment="1">
      <alignment horizontal="center"/>
    </xf>
    <xf numFmtId="0" fontId="0" fillId="13" borderId="0" xfId="0" applyFill="1"/>
    <xf numFmtId="0" fontId="2" fillId="0" borderId="0" xfId="0" applyFont="1"/>
    <xf numFmtId="0" fontId="20" fillId="0" borderId="0" xfId="0" applyFont="1" applyAlignment="1">
      <alignment horizontal="center"/>
    </xf>
    <xf numFmtId="0" fontId="20" fillId="0" borderId="0" xfId="0" applyFont="1"/>
    <xf numFmtId="0" fontId="9" fillId="10" borderId="0" xfId="0" applyFont="1" applyFill="1" applyAlignment="1">
      <alignment horizontal="left" vertical="center"/>
    </xf>
    <xf numFmtId="0" fontId="0" fillId="14" borderId="0" xfId="0" applyFill="1"/>
    <xf numFmtId="0" fontId="20" fillId="10" borderId="0" xfId="0" applyFont="1" applyFill="1"/>
    <xf numFmtId="0" fontId="20" fillId="10" borderId="0" xfId="0" applyFont="1" applyFill="1" applyAlignment="1">
      <alignment horizontal="center"/>
    </xf>
    <xf numFmtId="0" fontId="9" fillId="15" borderId="0" xfId="0" applyFont="1" applyFill="1" applyAlignment="1">
      <alignment horizontal="left" vertical="center"/>
    </xf>
    <xf numFmtId="9" fontId="20" fillId="12" borderId="0" xfId="0" applyNumberFormat="1" applyFont="1" applyFill="1"/>
    <xf numFmtId="3" fontId="0" fillId="0" borderId="0" xfId="0" applyNumberForma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D7403-D31C-448B-BA60-98FCFD12481F}">
  <sheetPr codeName="Sheet1"/>
  <dimension ref="A1:R53"/>
  <sheetViews>
    <sheetView tabSelected="1" zoomScale="145" zoomScaleNormal="145" workbookViewId="0">
      <selection activeCell="J12" sqref="J12"/>
    </sheetView>
  </sheetViews>
  <sheetFormatPr defaultColWidth="9" defaultRowHeight="14.25"/>
  <cols>
    <col min="2" max="2" width="11.375" style="5" customWidth="1"/>
    <col min="3" max="3" width="11" customWidth="1"/>
    <col min="4" max="4" width="11" bestFit="1" customWidth="1"/>
    <col min="5" max="5" width="11" customWidth="1"/>
    <col min="6" max="6" width="12.25" customWidth="1"/>
    <col min="7" max="7" width="11" customWidth="1"/>
    <col min="9" max="9" width="9.875" customWidth="1"/>
    <col min="10" max="10" width="13.5" bestFit="1" customWidth="1"/>
    <col min="12" max="12" width="12.875" customWidth="1"/>
    <col min="13" max="13" width="13.5" bestFit="1" customWidth="1"/>
    <col min="14" max="14" width="15.125" bestFit="1" customWidth="1"/>
    <col min="15" max="16" width="34.625" customWidth="1"/>
  </cols>
  <sheetData>
    <row r="1" spans="1:18">
      <c r="A1" s="70" t="s">
        <v>299</v>
      </c>
      <c r="B1" s="69" t="s">
        <v>306</v>
      </c>
      <c r="C1" s="2" t="s">
        <v>269</v>
      </c>
      <c r="D1" s="68"/>
      <c r="E1" s="2" t="s">
        <v>270</v>
      </c>
      <c r="H1" s="74" t="s">
        <v>300</v>
      </c>
      <c r="I1" s="74" t="s">
        <v>301</v>
      </c>
      <c r="J1" s="74" t="s">
        <v>298</v>
      </c>
      <c r="L1" s="74"/>
      <c r="M1" s="74"/>
    </row>
    <row r="2" spans="1:18">
      <c r="A2">
        <v>88</v>
      </c>
      <c r="B2">
        <v>57</v>
      </c>
      <c r="C2" s="5" t="s">
        <v>0</v>
      </c>
      <c r="D2">
        <v>57</v>
      </c>
      <c r="E2" s="5" t="s">
        <v>0</v>
      </c>
      <c r="F2">
        <v>88</v>
      </c>
      <c r="H2" s="69">
        <v>0</v>
      </c>
      <c r="I2" s="27">
        <v>0</v>
      </c>
      <c r="J2" s="5">
        <v>5714</v>
      </c>
    </row>
    <row r="3" spans="1:18">
      <c r="A3">
        <v>73.5</v>
      </c>
      <c r="B3">
        <v>59.5</v>
      </c>
      <c r="C3" s="5" t="s">
        <v>8</v>
      </c>
      <c r="D3">
        <v>59.5</v>
      </c>
      <c r="E3" s="5" t="s">
        <v>8</v>
      </c>
      <c r="F3">
        <v>73.5</v>
      </c>
      <c r="G3" s="5"/>
    </row>
    <row r="4" spans="1:18">
      <c r="A4">
        <v>64</v>
      </c>
      <c r="B4">
        <v>87</v>
      </c>
      <c r="C4" s="69" t="s">
        <v>271</v>
      </c>
      <c r="D4">
        <v>87</v>
      </c>
      <c r="E4" s="69" t="s">
        <v>271</v>
      </c>
      <c r="F4">
        <v>64</v>
      </c>
    </row>
    <row r="5" spans="1:18">
      <c r="D5" s="69"/>
      <c r="F5" s="69"/>
    </row>
    <row r="6" spans="1:18">
      <c r="D6" s="69"/>
      <c r="F6" s="5"/>
    </row>
    <row r="7" spans="1:18">
      <c r="C7" s="5" t="s">
        <v>0</v>
      </c>
      <c r="D7" s="5" t="s">
        <v>1</v>
      </c>
      <c r="E7" s="5" t="s">
        <v>2</v>
      </c>
      <c r="F7" s="5" t="s">
        <v>3</v>
      </c>
      <c r="H7" s="5"/>
      <c r="I7" s="5"/>
    </row>
    <row r="8" spans="1:18">
      <c r="A8" s="29" t="s">
        <v>4</v>
      </c>
      <c r="B8" s="30" t="s">
        <v>5</v>
      </c>
      <c r="C8" s="5"/>
      <c r="D8" s="5"/>
      <c r="E8" s="5">
        <f>D4</f>
        <v>87</v>
      </c>
      <c r="F8" s="5"/>
      <c r="H8" s="70"/>
      <c r="I8" s="5"/>
    </row>
    <row r="9" spans="1:18">
      <c r="A9" s="29" t="s">
        <v>4</v>
      </c>
      <c r="C9" s="5"/>
      <c r="D9" s="5"/>
      <c r="E9" s="5"/>
      <c r="F9" s="5"/>
      <c r="H9" s="70"/>
      <c r="I9" s="5"/>
    </row>
    <row r="10" spans="1:18">
      <c r="A10" s="29" t="s">
        <v>6</v>
      </c>
      <c r="B10" s="31" t="s">
        <v>0</v>
      </c>
      <c r="C10" s="5">
        <f>D2</f>
        <v>57</v>
      </c>
      <c r="D10" s="5"/>
      <c r="E10" s="5"/>
      <c r="F10" s="5"/>
      <c r="H10" s="70"/>
      <c r="Q10" s="5"/>
      <c r="R10" s="5"/>
    </row>
    <row r="11" spans="1:18">
      <c r="A11" s="29" t="s">
        <v>7</v>
      </c>
      <c r="B11" s="32" t="s">
        <v>8</v>
      </c>
      <c r="C11" s="5"/>
      <c r="D11" s="5">
        <f>F3</f>
        <v>73.5</v>
      </c>
      <c r="F11" s="5"/>
      <c r="Q11" s="57"/>
      <c r="R11" s="5"/>
    </row>
    <row r="12" spans="1:18">
      <c r="A12" s="29" t="s">
        <v>7</v>
      </c>
      <c r="C12" s="5"/>
      <c r="D12" s="5"/>
      <c r="E12" s="5"/>
      <c r="F12" s="5"/>
      <c r="Q12" s="5"/>
      <c r="R12" s="5"/>
    </row>
    <row r="13" spans="1:18">
      <c r="A13" s="29" t="s">
        <v>7</v>
      </c>
      <c r="B13" s="34" t="s">
        <v>9</v>
      </c>
      <c r="C13" s="5"/>
      <c r="D13" s="5"/>
      <c r="E13" s="5">
        <f>F4</f>
        <v>64</v>
      </c>
      <c r="F13" s="5"/>
      <c r="Q13" s="58"/>
      <c r="R13" s="59"/>
    </row>
    <row r="14" spans="1:18">
      <c r="A14" s="29"/>
    </row>
    <row r="15" spans="1:18">
      <c r="A15" s="2" t="s">
        <v>10</v>
      </c>
      <c r="B15" s="2" t="s">
        <v>11</v>
      </c>
      <c r="C15" s="2" t="s">
        <v>12</v>
      </c>
      <c r="D15" s="2" t="s">
        <v>13</v>
      </c>
      <c r="E15" s="2" t="s">
        <v>14</v>
      </c>
      <c r="F15" s="2" t="s">
        <v>15</v>
      </c>
      <c r="G15" s="2" t="s">
        <v>16</v>
      </c>
      <c r="H15" s="2" t="s">
        <v>17</v>
      </c>
      <c r="I15" s="2" t="s">
        <v>18</v>
      </c>
      <c r="J15" s="2" t="s">
        <v>19</v>
      </c>
      <c r="K15" s="2" t="s">
        <v>20</v>
      </c>
      <c r="L15" s="2" t="s">
        <v>21</v>
      </c>
      <c r="M15" s="2" t="s">
        <v>22</v>
      </c>
      <c r="N15" s="2" t="s">
        <v>23</v>
      </c>
    </row>
    <row r="16" spans="1:18">
      <c r="A16" s="35" t="s">
        <v>24</v>
      </c>
      <c r="B16" s="35" t="s">
        <v>25</v>
      </c>
      <c r="C16" s="36">
        <v>5188</v>
      </c>
      <c r="D16" s="37">
        <f>((C16-INDEX(兵力区间,MATCH(C16,兵力区间,1)))/(INDEX(兵力区间,MATCH(C16,兵力区间,1)+1)-INDEX(兵力区间,MATCH(C16,兵力区间,1)))*((INDEX(兵力调节,MATCH(C16,兵力区间,1)+1,2)-INDEX(兵力调节,MATCH(C16,兵力区间,1),2)))+INDEX(兵力调节,MATCH(C16,兵力区间,1),2))*C16^0.5</f>
        <v>89.34324891159936</v>
      </c>
      <c r="E16" s="38">
        <v>0</v>
      </c>
      <c r="F16" s="38">
        <v>0</v>
      </c>
      <c r="G16" s="35" t="s">
        <v>26</v>
      </c>
      <c r="H16" s="39">
        <v>1</v>
      </c>
      <c r="I16" s="39">
        <v>0</v>
      </c>
      <c r="J16" s="39"/>
      <c r="K16" s="50" t="e">
        <f>VLOOKUP(B16,属性4,IF(A16="战术",4,2),0)*IF(A16="战术",0.5,0.345)</f>
        <v>#N/A</v>
      </c>
      <c r="L16" s="51" t="e">
        <f>D16*(160+VLOOKUP(B16,属性4,2,0))/(160+VLOOKUP(G16,属性4,3,0))*(1+2)*(1+F16)*(1+E16)</f>
        <v>#N/A</v>
      </c>
      <c r="M16" s="52" t="e">
        <f>ROUNDUP(K16+L16,0)</f>
        <v>#N/A</v>
      </c>
      <c r="N16" s="52"/>
    </row>
    <row r="17" spans="1:17">
      <c r="A17" s="2" t="s">
        <v>27</v>
      </c>
      <c r="B17" s="2" t="s">
        <v>5</v>
      </c>
      <c r="C17" s="40">
        <f>J2</f>
        <v>5714</v>
      </c>
      <c r="D17" s="41">
        <f>((C17-INDEX(兵力区间,MATCH(C17,兵力区间,1)))/(INDEX(兵力区间,MATCH(C17,兵力区间,1)+1)-INDEX(兵力区间,MATCH(C17,兵力区间,1)))*((INDEX(兵力调节,MATCH(C17,兵力区间,1)+1,2)-INDEX(兵力调节,MATCH(C17,兵力区间,1),2)))+INDEX(兵力调节,MATCH(C17,兵力区间,1),2))*C17^0.5</f>
        <v>92.437720015779021</v>
      </c>
      <c r="E17" s="42">
        <f>I2</f>
        <v>0</v>
      </c>
      <c r="F17" s="42">
        <f>G28</f>
        <v>0</v>
      </c>
      <c r="G17" s="2" t="s">
        <v>9</v>
      </c>
      <c r="H17" s="43">
        <v>1.25</v>
      </c>
      <c r="I17" s="43">
        <v>1.25</v>
      </c>
      <c r="J17" s="53">
        <f>H2</f>
        <v>0</v>
      </c>
      <c r="K17" s="54">
        <f>VLOOKUP(B17,属性4,IF(A17="战术",4,2),0)*IF(A17="战术",0.5,0.345)</f>
        <v>43.5</v>
      </c>
      <c r="L17" s="28">
        <f>2.5*D17*160/(160+VLOOKUP(G17,属性4,4,0))*(1+H17+I17*(VLOOKUP(B17,属性4,4,0)-80)/100)*(1+F17)*(1+E17)*(1-J17/100)*(1-C36)*(1+B36)</f>
        <v>385.84494738729188</v>
      </c>
      <c r="M17" s="55">
        <f>ROUNDUP(K17+L17,0)</f>
        <v>430</v>
      </c>
      <c r="N17" s="55"/>
    </row>
    <row r="18" spans="1:17">
      <c r="A18" s="2" t="s">
        <v>28</v>
      </c>
      <c r="B18" s="2" t="s">
        <v>0</v>
      </c>
      <c r="C18" s="40">
        <f>J2</f>
        <v>5714</v>
      </c>
      <c r="D18" s="41">
        <f>((C18-INDEX(兵力区间,MATCH(C18,兵力区间,1)))/(INDEX(兵力区间,MATCH(C18,兵力区间,1)+1)-INDEX(兵力区间,MATCH(C18,兵力区间,1)))*((INDEX(兵力调节,MATCH(C18,兵力区间,1)+1,2)-INDEX(兵力调节,MATCH(C18,兵力区间,1),2)))+INDEX(兵力调节,MATCH(C18,兵力区间,1),2))*C18^0.5</f>
        <v>92.437720015779021</v>
      </c>
      <c r="E18" s="42">
        <f>I2</f>
        <v>0</v>
      </c>
      <c r="F18" s="42">
        <f>G28</f>
        <v>0</v>
      </c>
      <c r="G18" s="2" t="s">
        <v>8</v>
      </c>
      <c r="H18" s="43">
        <v>1</v>
      </c>
      <c r="I18" s="43">
        <v>0</v>
      </c>
      <c r="J18" s="53">
        <f>H2</f>
        <v>0</v>
      </c>
      <c r="K18" s="54">
        <f>VLOOKUP(B18,属性4,IF(A18="战术",4,2),0)*IF(A18="战术",0.3,0.345)</f>
        <v>19.664999999999999</v>
      </c>
      <c r="L18" s="28">
        <f>D18*(160+VLOOKUP(B18,属性4,2,0))/(160+VLOOKUP(G18,属性4,3,0))*(1+2*H18)*(E18+1)*(F18+1)*(1-J18/100)*(1-C36)*(1+B36)</f>
        <v>257.71715516176511</v>
      </c>
      <c r="M18" s="55">
        <f>ROUNDUP(K18+L18,0)</f>
        <v>278</v>
      </c>
      <c r="N18" s="56">
        <f>C10*0.045</f>
        <v>2.5649999999999999</v>
      </c>
      <c r="Q18" s="46"/>
    </row>
    <row r="19" spans="1:17">
      <c r="C19" s="5"/>
      <c r="L19" s="28"/>
    </row>
    <row r="20" spans="1:17">
      <c r="J20" s="70"/>
    </row>
    <row r="22" spans="1:17">
      <c r="B22" t="s">
        <v>29</v>
      </c>
      <c r="C22" t="s">
        <v>30</v>
      </c>
    </row>
    <row r="23" spans="1:17">
      <c r="B23" s="44">
        <v>0</v>
      </c>
      <c r="C23" s="45">
        <v>0</v>
      </c>
      <c r="E23" s="72"/>
      <c r="F23" s="72"/>
      <c r="G23" s="72"/>
      <c r="K23" s="72"/>
      <c r="L23" s="72"/>
    </row>
    <row r="24" spans="1:17">
      <c r="B24" s="44">
        <v>0</v>
      </c>
      <c r="C24" s="45">
        <v>0</v>
      </c>
      <c r="J24" s="72"/>
      <c r="N24" s="72"/>
    </row>
    <row r="25" spans="1:17">
      <c r="B25" s="44"/>
      <c r="C25" s="45">
        <v>0</v>
      </c>
    </row>
    <row r="26" spans="1:17">
      <c r="B26" s="44"/>
      <c r="C26" s="45"/>
    </row>
    <row r="27" spans="1:17">
      <c r="B27" s="44"/>
      <c r="C27" s="45"/>
      <c r="E27" t="s">
        <v>29</v>
      </c>
      <c r="F27" t="s">
        <v>30</v>
      </c>
      <c r="G27" t="s">
        <v>31</v>
      </c>
    </row>
    <row r="28" spans="1:17">
      <c r="B28" s="44"/>
      <c r="C28" s="45"/>
      <c r="E28" s="46">
        <f>SUM(B23:B33)</f>
        <v>0</v>
      </c>
      <c r="F28" s="46">
        <f>SUM(C23:C33)</f>
        <v>0</v>
      </c>
      <c r="G28" s="7">
        <f>MAX((1+E28-F29),0.15)*MAX((1-F30),0.15)-1</f>
        <v>0</v>
      </c>
    </row>
    <row r="29" spans="1:17">
      <c r="B29" s="44"/>
      <c r="C29" s="45"/>
      <c r="F29">
        <f>F28*(1-E32)</f>
        <v>0</v>
      </c>
    </row>
    <row r="30" spans="1:17">
      <c r="B30" s="44"/>
      <c r="C30" s="45"/>
      <c r="F30">
        <f>F28-F29</f>
        <v>0</v>
      </c>
    </row>
    <row r="31" spans="1:17">
      <c r="B31" s="44"/>
      <c r="C31" s="45"/>
      <c r="E31" t="s">
        <v>32</v>
      </c>
    </row>
    <row r="32" spans="1:17">
      <c r="B32" s="44"/>
      <c r="C32" s="45"/>
      <c r="E32" s="46">
        <v>0.2</v>
      </c>
      <c r="L32" s="70"/>
    </row>
    <row r="33" spans="2:14">
      <c r="B33" s="44"/>
      <c r="C33" s="45"/>
    </row>
    <row r="35" spans="2:14">
      <c r="B35" s="47" t="s">
        <v>33</v>
      </c>
      <c r="C35" s="47" t="s">
        <v>34</v>
      </c>
    </row>
    <row r="36" spans="2:14">
      <c r="B36" s="48">
        <v>0</v>
      </c>
      <c r="C36" s="48">
        <v>0</v>
      </c>
    </row>
    <row r="37" spans="2:14">
      <c r="B37" s="48"/>
      <c r="C37" s="49"/>
    </row>
    <row r="38" spans="2:14"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2:14">
      <c r="F39" s="40"/>
      <c r="G39" s="41"/>
      <c r="H39" s="7"/>
      <c r="J39" s="7"/>
    </row>
    <row r="52" spans="9:13">
      <c r="I52" s="77"/>
      <c r="K52" s="77"/>
      <c r="M52" s="77"/>
    </row>
    <row r="53" spans="9:13">
      <c r="I53" s="77"/>
      <c r="K53" s="77"/>
      <c r="M53" s="77"/>
    </row>
  </sheetData>
  <phoneticPr fontId="2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31"/>
  <sheetViews>
    <sheetView zoomScale="145" zoomScaleNormal="145" workbookViewId="0">
      <selection activeCell="H14" sqref="H14"/>
    </sheetView>
  </sheetViews>
  <sheetFormatPr defaultColWidth="9" defaultRowHeight="14.25"/>
  <cols>
    <col min="2" max="2" width="11.375" style="5" customWidth="1"/>
    <col min="3" max="3" width="11" customWidth="1"/>
    <col min="5" max="5" width="11" customWidth="1"/>
    <col min="6" max="6" width="12.25" customWidth="1"/>
    <col min="7" max="7" width="11" customWidth="1"/>
    <col min="9" max="10" width="9.875" customWidth="1"/>
    <col min="12" max="12" width="18.375" customWidth="1"/>
    <col min="15" max="16" width="34.625" customWidth="1"/>
  </cols>
  <sheetData>
    <row r="1" spans="1:18">
      <c r="C1" s="5" t="s">
        <v>0</v>
      </c>
      <c r="D1" s="5" t="s">
        <v>1</v>
      </c>
      <c r="E1" s="5" t="s">
        <v>2</v>
      </c>
      <c r="F1" s="5" t="s">
        <v>3</v>
      </c>
      <c r="H1" s="74" t="s">
        <v>300</v>
      </c>
      <c r="I1" s="73" t="s">
        <v>301</v>
      </c>
      <c r="J1" s="74" t="s">
        <v>298</v>
      </c>
    </row>
    <row r="2" spans="1:18">
      <c r="A2" s="29" t="s">
        <v>4</v>
      </c>
      <c r="B2" s="30" t="s">
        <v>5</v>
      </c>
      <c r="C2" s="5"/>
      <c r="D2" s="5"/>
      <c r="E2" s="5">
        <f>计算1!F4</f>
        <v>64</v>
      </c>
      <c r="F2" s="5"/>
      <c r="H2" s="5">
        <v>0</v>
      </c>
      <c r="I2" s="46">
        <v>-0.2</v>
      </c>
      <c r="J2" s="5">
        <v>6000</v>
      </c>
    </row>
    <row r="3" spans="1:18">
      <c r="A3" s="29" t="s">
        <v>4</v>
      </c>
      <c r="C3" s="5"/>
      <c r="D3" s="5"/>
      <c r="E3" s="5"/>
      <c r="F3" s="5"/>
      <c r="H3" s="5"/>
      <c r="I3" s="5"/>
    </row>
    <row r="4" spans="1:18">
      <c r="A4" s="29" t="s">
        <v>6</v>
      </c>
      <c r="B4" s="31" t="s">
        <v>0</v>
      </c>
      <c r="C4" s="5">
        <f>计算1!F2</f>
        <v>88</v>
      </c>
      <c r="D4" s="5"/>
      <c r="E4" s="5"/>
      <c r="F4" s="5"/>
      <c r="Q4" s="5"/>
      <c r="R4" s="5"/>
    </row>
    <row r="5" spans="1:18">
      <c r="A5" s="29" t="s">
        <v>7</v>
      </c>
      <c r="B5" s="32" t="s">
        <v>8</v>
      </c>
      <c r="C5" s="5"/>
      <c r="D5" s="33">
        <f>计算1!D3</f>
        <v>59.5</v>
      </c>
      <c r="F5" s="5"/>
      <c r="Q5" s="57"/>
      <c r="R5" s="5"/>
    </row>
    <row r="6" spans="1:18">
      <c r="A6" s="29" t="s">
        <v>7</v>
      </c>
      <c r="C6" s="5"/>
      <c r="D6" s="5"/>
      <c r="E6" s="5"/>
      <c r="F6" s="5"/>
      <c r="Q6" s="5"/>
      <c r="R6" s="5"/>
    </row>
    <row r="7" spans="1:18">
      <c r="A7" s="29" t="s">
        <v>7</v>
      </c>
      <c r="B7" s="34" t="s">
        <v>9</v>
      </c>
      <c r="C7" s="5"/>
      <c r="D7" s="5"/>
      <c r="E7" s="33">
        <f>计算1!D4</f>
        <v>87</v>
      </c>
      <c r="F7" s="5"/>
      <c r="Q7" s="58"/>
      <c r="R7" s="59"/>
    </row>
    <row r="8" spans="1:18">
      <c r="A8" s="29"/>
    </row>
    <row r="9" spans="1:18">
      <c r="A9" s="2" t="s">
        <v>10</v>
      </c>
      <c r="B9" s="2" t="s">
        <v>11</v>
      </c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17</v>
      </c>
      <c r="I9" s="2" t="s">
        <v>18</v>
      </c>
      <c r="J9" s="2" t="s">
        <v>19</v>
      </c>
      <c r="K9" s="2" t="s">
        <v>20</v>
      </c>
      <c r="L9" s="2" t="s">
        <v>21</v>
      </c>
      <c r="M9" s="2" t="s">
        <v>22</v>
      </c>
      <c r="N9" s="2" t="s">
        <v>23</v>
      </c>
    </row>
    <row r="10" spans="1:18">
      <c r="A10" s="35" t="s">
        <v>24</v>
      </c>
      <c r="B10" s="35" t="s">
        <v>25</v>
      </c>
      <c r="C10" s="36">
        <v>5188</v>
      </c>
      <c r="D10" s="37">
        <f>((C10-INDEX(兵力区间,MATCH(C10,兵力区间,1)))/(INDEX(兵力区间,MATCH(C10,兵力区间,1)+1)-INDEX(兵力区间,MATCH(C10,兵力区间,1)))*((INDEX(兵力调节,MATCH(C10,兵力区间,1)+1,2)-INDEX(兵力调节,MATCH(C10,兵力区间,1),2)))+INDEX(兵力调节,MATCH(C10,兵力区间,1),2))*C10^0.5</f>
        <v>89.34324891159936</v>
      </c>
      <c r="E10" s="38">
        <v>0</v>
      </c>
      <c r="F10" s="38">
        <v>0</v>
      </c>
      <c r="G10" s="35" t="s">
        <v>26</v>
      </c>
      <c r="H10" s="39">
        <v>1</v>
      </c>
      <c r="I10" s="39">
        <v>0</v>
      </c>
      <c r="J10" s="39"/>
      <c r="K10" s="50" t="e">
        <f>VLOOKUP(B10,属性4,IF(A10="战术",4,2),0)*IF(A10="战术",0.5,0.345)</f>
        <v>#N/A</v>
      </c>
      <c r="L10" s="51" t="e">
        <f>D10*(160+VLOOKUP(B10,属性4,2,0))/(160+VLOOKUP(G10,属性4,3,0))*(1+2)*(1+F10)*(1+E10)</f>
        <v>#N/A</v>
      </c>
      <c r="M10" s="52" t="e">
        <f>ROUNDUP(K10+L10,0)</f>
        <v>#N/A</v>
      </c>
      <c r="N10" s="52"/>
    </row>
    <row r="11" spans="1:18">
      <c r="A11" s="2" t="s">
        <v>27</v>
      </c>
      <c r="B11" s="2" t="s">
        <v>5</v>
      </c>
      <c r="C11" s="40">
        <f>J2</f>
        <v>6000</v>
      </c>
      <c r="D11" s="41">
        <f>((C11-INDEX(兵力区间,MATCH(C11,兵力区间,1)))/(INDEX(兵力区间,MATCH(C11,兵力区间,1)+1)-INDEX(兵力区间,MATCH(C11,兵力区间,1)))*((INDEX(兵力调节,MATCH(C11,兵力区间,1)+1,2)-INDEX(兵力调节,MATCH(C11,兵力区间,1),2)))+INDEX(兵力调节,MATCH(C11,兵力区间,1),2))*C11^0.5</f>
        <v>93.984395867966654</v>
      </c>
      <c r="E11" s="42">
        <f>I2</f>
        <v>-0.2</v>
      </c>
      <c r="F11" s="42">
        <f>G22</f>
        <v>0</v>
      </c>
      <c r="G11" s="2" t="s">
        <v>9</v>
      </c>
      <c r="H11" s="43">
        <v>1.25</v>
      </c>
      <c r="I11" s="43">
        <v>1.25</v>
      </c>
      <c r="J11" s="53">
        <f>H2</f>
        <v>0</v>
      </c>
      <c r="K11" s="54">
        <f>VLOOKUP(B11,属性4,IF(A11="战术",4,2),0)*IF(A11="战术",0.5,0.345)</f>
        <v>32</v>
      </c>
      <c r="L11" s="28">
        <f>2.5*D11*160/(160+VLOOKUP(G11,属性4,4,0))*(1+H11+I11*(VLOOKUP(B11,属性4,4,0)-80)/100)*(1+F11)*(1+E11)*(1-J11/100)*(1-C30)*(1+B30)</f>
        <v>249.61037930925556</v>
      </c>
      <c r="M11" s="55">
        <f>ROUNDUP(K11+L11,0)</f>
        <v>282</v>
      </c>
      <c r="N11" s="55"/>
    </row>
    <row r="12" spans="1:18">
      <c r="A12" s="2" t="s">
        <v>28</v>
      </c>
      <c r="B12" s="2" t="s">
        <v>0</v>
      </c>
      <c r="C12" s="40">
        <f>J2</f>
        <v>6000</v>
      </c>
      <c r="D12" s="41">
        <f>((C12-INDEX(兵力区间,MATCH(C12,兵力区间,1)))/(INDEX(兵力区间,MATCH(C12,兵力区间,1)+1)-INDEX(兵力区间,MATCH(C12,兵力区间,1)))*((INDEX(兵力调节,MATCH(C12,兵力区间,1)+1,2)-INDEX(兵力调节,MATCH(C12,兵力区间,1),2)))+INDEX(兵力调节,MATCH(C12,兵力区间,1),2))*C12^0.5</f>
        <v>93.984395867966654</v>
      </c>
      <c r="E12" s="42">
        <f>I2</f>
        <v>-0.2</v>
      </c>
      <c r="F12" s="42">
        <f>G22</f>
        <v>0</v>
      </c>
      <c r="G12" s="2" t="s">
        <v>8</v>
      </c>
      <c r="H12" s="43">
        <v>1</v>
      </c>
      <c r="I12" s="43"/>
      <c r="J12" s="53">
        <f>H2</f>
        <v>0</v>
      </c>
      <c r="K12" s="54">
        <f>VLOOKUP(B12,属性4,IF(A12="战术",4,2),0)*IF(A12="战术",0.3,0.345)</f>
        <v>30.36</v>
      </c>
      <c r="L12" s="28">
        <f>D12*(160+VLOOKUP(B12,属性4,2,0))/(160+VLOOKUP(G12,属性4,3,0))*(1+2*H12)*(E12+1)*(F12+1)*(1-J12/100)*(1-C30)*(1+B30)</f>
        <v>254.84971490029048</v>
      </c>
      <c r="M12" s="55">
        <f>ROUNDUP(K12+L12,0)</f>
        <v>286</v>
      </c>
      <c r="N12" s="56">
        <f>C4*0.045</f>
        <v>3.96</v>
      </c>
      <c r="Q12" s="46"/>
    </row>
    <row r="13" spans="1:18">
      <c r="C13" s="5"/>
      <c r="L13" s="28"/>
    </row>
    <row r="16" spans="1:18">
      <c r="B16" t="s">
        <v>29</v>
      </c>
      <c r="C16" t="s">
        <v>30</v>
      </c>
    </row>
    <row r="17" spans="2:11">
      <c r="B17" s="44">
        <v>0</v>
      </c>
      <c r="C17" s="45">
        <v>0</v>
      </c>
    </row>
    <row r="18" spans="2:11">
      <c r="B18" s="44"/>
      <c r="C18" s="76">
        <v>0</v>
      </c>
    </row>
    <row r="19" spans="2:11">
      <c r="B19" s="44"/>
      <c r="C19" s="45"/>
    </row>
    <row r="20" spans="2:11">
      <c r="B20" s="44"/>
      <c r="C20" s="45"/>
    </row>
    <row r="21" spans="2:11">
      <c r="B21" s="44"/>
      <c r="C21" s="45"/>
      <c r="E21" t="s">
        <v>29</v>
      </c>
      <c r="F21" t="s">
        <v>30</v>
      </c>
      <c r="G21" t="s">
        <v>31</v>
      </c>
    </row>
    <row r="22" spans="2:11">
      <c r="B22" s="44"/>
      <c r="C22" s="45"/>
      <c r="E22" s="46">
        <f>SUM(B17:B27)</f>
        <v>0</v>
      </c>
      <c r="F22" s="46">
        <f>SUM(C17:C27)</f>
        <v>0</v>
      </c>
      <c r="G22" s="7">
        <f>MAX((1+E22-F23),0.15)*MAX((1-F24),0.15)-1</f>
        <v>0</v>
      </c>
    </row>
    <row r="23" spans="2:11">
      <c r="B23" s="44"/>
      <c r="C23" s="45"/>
      <c r="F23">
        <f>F22*(1-E26)</f>
        <v>0</v>
      </c>
    </row>
    <row r="24" spans="2:11">
      <c r="B24" s="44"/>
      <c r="C24" s="45"/>
      <c r="F24">
        <f>F22-F23</f>
        <v>0</v>
      </c>
    </row>
    <row r="25" spans="2:11">
      <c r="B25" s="44"/>
      <c r="C25" s="45"/>
      <c r="E25" t="s">
        <v>32</v>
      </c>
    </row>
    <row r="26" spans="2:11">
      <c r="B26" s="44"/>
      <c r="C26" s="45"/>
      <c r="E26" s="46">
        <v>0.2</v>
      </c>
    </row>
    <row r="27" spans="2:11">
      <c r="B27" s="44"/>
      <c r="C27" s="45"/>
      <c r="K27" s="70" t="s">
        <v>297</v>
      </c>
    </row>
    <row r="29" spans="2:11">
      <c r="B29" s="47" t="s">
        <v>33</v>
      </c>
      <c r="C29" s="47" t="s">
        <v>34</v>
      </c>
    </row>
    <row r="30" spans="2:11">
      <c r="B30" s="48">
        <v>0</v>
      </c>
      <c r="C30" s="48">
        <v>0</v>
      </c>
    </row>
    <row r="31" spans="2:11">
      <c r="B31" s="49"/>
      <c r="C31" s="49"/>
    </row>
  </sheetData>
  <phoneticPr fontId="2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1066-EC6B-40F0-BFB6-7856A0E0631B}">
  <sheetPr codeName="Sheet5"/>
  <dimension ref="A1:I3005"/>
  <sheetViews>
    <sheetView topLeftCell="A13" workbookViewId="0">
      <selection activeCell="A58" sqref="A58"/>
    </sheetView>
  </sheetViews>
  <sheetFormatPr defaultRowHeight="14.25"/>
  <cols>
    <col min="1" max="3" width="17.5" style="5" customWidth="1"/>
    <col min="4" max="4" width="17.5" style="65" customWidth="1"/>
    <col min="5" max="5" width="17.5" style="66" customWidth="1"/>
    <col min="6" max="6" width="12.25" style="67" customWidth="1"/>
  </cols>
  <sheetData>
    <row r="1" spans="1:9">
      <c r="A1" s="60" t="s">
        <v>253</v>
      </c>
      <c r="B1" s="60" t="s">
        <v>254</v>
      </c>
      <c r="C1" s="60" t="s">
        <v>255</v>
      </c>
      <c r="D1" s="61" t="s">
        <v>256</v>
      </c>
      <c r="E1" s="62" t="s">
        <v>257</v>
      </c>
      <c r="F1" s="62" t="s">
        <v>258</v>
      </c>
      <c r="H1" s="68" t="s">
        <v>268</v>
      </c>
      <c r="I1" s="68">
        <v>6000</v>
      </c>
    </row>
    <row r="2" spans="1:9">
      <c r="A2" s="60" t="s">
        <v>259</v>
      </c>
      <c r="B2" s="60" t="s">
        <v>259</v>
      </c>
      <c r="C2" s="60" t="s">
        <v>259</v>
      </c>
      <c r="D2" s="61" t="s">
        <v>260</v>
      </c>
      <c r="E2" s="62" t="s">
        <v>260</v>
      </c>
      <c r="F2" s="62" t="s">
        <v>260</v>
      </c>
    </row>
    <row r="3" spans="1:9">
      <c r="A3" s="60" t="s">
        <v>261</v>
      </c>
      <c r="B3" s="60" t="s">
        <v>262</v>
      </c>
      <c r="C3" s="60" t="s">
        <v>263</v>
      </c>
      <c r="D3" s="61" t="s">
        <v>264</v>
      </c>
      <c r="E3" s="62" t="s">
        <v>265</v>
      </c>
      <c r="F3" s="62" t="str">
        <f>"校验"&amp;SUM(F6:F3006)</f>
        <v>校验0</v>
      </c>
    </row>
    <row r="4" spans="1:9">
      <c r="A4" s="63" t="s">
        <v>266</v>
      </c>
      <c r="B4" s="63"/>
      <c r="C4" s="63"/>
      <c r="D4" s="61" t="s">
        <v>267</v>
      </c>
      <c r="E4" s="62" t="s">
        <v>267</v>
      </c>
      <c r="F4" s="62" t="s">
        <v>267</v>
      </c>
    </row>
    <row r="5" spans="1:9">
      <c r="A5" s="63">
        <v>0</v>
      </c>
      <c r="B5" s="60">
        <f>ROUND(D5*E5*10000,0)</f>
        <v>0</v>
      </c>
      <c r="C5" s="60">
        <f>B5</f>
        <v>0</v>
      </c>
      <c r="D5" s="61">
        <f t="shared" ref="D5:D68" si="0">(A5-INDEX(兵力区间,MATCH(A5,兵力区间,1)))/(INDEX(兵力区间,MATCH(A5,兵力区间,1)+1)-INDEX(兵力区间,MATCH(A5,兵力区间,1)))*((INDEX(兵力调节,MATCH(A5,兵力区间,1)+1,2)-INDEX(兵力调节,MATCH(A5,兵力区间,1),2)))+INDEX(兵力调节,MATCH(A5,兵力区间,1),2)</f>
        <v>0.8</v>
      </c>
      <c r="E5" s="64">
        <f>A5^0.5</f>
        <v>0</v>
      </c>
      <c r="F5" s="62"/>
    </row>
    <row r="6" spans="1:9">
      <c r="A6" s="60">
        <v>100</v>
      </c>
      <c r="B6" s="60">
        <f>ROUND(D6*E6*10000,0)</f>
        <v>80000</v>
      </c>
      <c r="C6" s="60">
        <f>ROUND(D6*E6*10000*2,0)</f>
        <v>160000</v>
      </c>
      <c r="D6" s="61">
        <f t="shared" si="0"/>
        <v>0.8</v>
      </c>
      <c r="E6" s="64">
        <f>A6^0.5</f>
        <v>10</v>
      </c>
      <c r="F6" s="62" t="str">
        <f>IF(B6&lt;B5,1,"")</f>
        <v/>
      </c>
    </row>
    <row r="7" spans="1:9">
      <c r="A7" s="60">
        <v>200</v>
      </c>
      <c r="B7" s="60">
        <f t="shared" ref="B7:B70" si="1">ROUND(D7*E7*10000,0)</f>
        <v>120067</v>
      </c>
      <c r="C7" s="60">
        <f>ROUND(D7*E7*10000*1.5,0)</f>
        <v>180100</v>
      </c>
      <c r="D7" s="61">
        <f t="shared" si="0"/>
        <v>0.84899999999999998</v>
      </c>
      <c r="E7" s="64">
        <f t="shared" ref="E7:E70" si="2">A7^0.5</f>
        <v>14.142135623730951</v>
      </c>
      <c r="F7" s="62" t="str">
        <f>IF(B7&lt;B6,1,"")</f>
        <v/>
      </c>
    </row>
    <row r="8" spans="1:9">
      <c r="A8" s="60">
        <v>300</v>
      </c>
      <c r="B8" s="60">
        <f t="shared" si="1"/>
        <v>145492</v>
      </c>
      <c r="C8" s="60">
        <f>ROUND(D8*E8*10000*1.2,0)</f>
        <v>174591</v>
      </c>
      <c r="D8" s="61">
        <f t="shared" si="0"/>
        <v>0.84</v>
      </c>
      <c r="E8" s="64">
        <f t="shared" si="2"/>
        <v>17.320508075688775</v>
      </c>
      <c r="F8" s="62" t="str">
        <f t="shared" ref="F8:F71" si="3">IF(B8&lt;B7,1,"")</f>
        <v/>
      </c>
    </row>
    <row r="9" spans="1:9">
      <c r="A9" s="60">
        <v>400</v>
      </c>
      <c r="B9" s="60">
        <f t="shared" si="1"/>
        <v>177500</v>
      </c>
      <c r="C9" s="60">
        <f>ROUND(D9*E9*10000*1.2,0)</f>
        <v>213000</v>
      </c>
      <c r="D9" s="61">
        <f t="shared" si="0"/>
        <v>0.88749999999999996</v>
      </c>
      <c r="E9" s="64">
        <f t="shared" si="2"/>
        <v>20</v>
      </c>
      <c r="F9" s="62" t="str">
        <f t="shared" si="3"/>
        <v/>
      </c>
    </row>
    <row r="10" spans="1:9">
      <c r="A10" s="60">
        <v>500</v>
      </c>
      <c r="B10" s="60">
        <f t="shared" si="1"/>
        <v>209072</v>
      </c>
      <c r="C10" s="60">
        <f>ROUND(D10*E10*10000*1.1,0)</f>
        <v>229980</v>
      </c>
      <c r="D10" s="61">
        <f t="shared" si="0"/>
        <v>0.93500000000000005</v>
      </c>
      <c r="E10" s="64">
        <f t="shared" si="2"/>
        <v>22.360679774997898</v>
      </c>
      <c r="F10" s="62" t="str">
        <f t="shared" si="3"/>
        <v/>
      </c>
    </row>
    <row r="11" spans="1:9">
      <c r="A11" s="60">
        <v>600</v>
      </c>
      <c r="B11" s="60">
        <f t="shared" si="1"/>
        <v>234335</v>
      </c>
      <c r="C11" s="60">
        <f t="shared" ref="C11:C74" si="4">ROUND(D11*E11*10000,0)</f>
        <v>234335</v>
      </c>
      <c r="D11" s="61">
        <f t="shared" si="0"/>
        <v>0.95666666666666667</v>
      </c>
      <c r="E11" s="64">
        <f t="shared" si="2"/>
        <v>24.494897427831781</v>
      </c>
      <c r="F11" s="62" t="str">
        <f t="shared" si="3"/>
        <v/>
      </c>
    </row>
    <row r="12" spans="1:9">
      <c r="A12" s="60">
        <v>700</v>
      </c>
      <c r="B12" s="60">
        <f t="shared" si="1"/>
        <v>258843</v>
      </c>
      <c r="C12" s="60">
        <f t="shared" si="4"/>
        <v>258843</v>
      </c>
      <c r="D12" s="61">
        <f t="shared" si="0"/>
        <v>0.97833333333333339</v>
      </c>
      <c r="E12" s="64">
        <f t="shared" si="2"/>
        <v>26.457513110645905</v>
      </c>
      <c r="F12" s="62" t="str">
        <f t="shared" si="3"/>
        <v/>
      </c>
    </row>
    <row r="13" spans="1:9">
      <c r="A13" s="60">
        <v>800</v>
      </c>
      <c r="B13" s="60">
        <f t="shared" si="1"/>
        <v>282843</v>
      </c>
      <c r="C13" s="60">
        <f t="shared" si="4"/>
        <v>282843</v>
      </c>
      <c r="D13" s="61">
        <f t="shared" si="0"/>
        <v>1</v>
      </c>
      <c r="E13" s="64">
        <f t="shared" si="2"/>
        <v>28.284271247461902</v>
      </c>
      <c r="F13" s="62" t="str">
        <f t="shared" si="3"/>
        <v/>
      </c>
    </row>
    <row r="14" spans="1:9">
      <c r="A14" s="60">
        <v>900</v>
      </c>
      <c r="B14" s="60">
        <f t="shared" si="1"/>
        <v>306000</v>
      </c>
      <c r="C14" s="60">
        <f t="shared" si="4"/>
        <v>306000</v>
      </c>
      <c r="D14" s="61">
        <f t="shared" si="0"/>
        <v>1.02</v>
      </c>
      <c r="E14" s="64">
        <f t="shared" si="2"/>
        <v>30</v>
      </c>
      <c r="F14" s="62" t="str">
        <f t="shared" si="3"/>
        <v/>
      </c>
    </row>
    <row r="15" spans="1:9">
      <c r="A15" s="60">
        <v>1000</v>
      </c>
      <c r="B15" s="60">
        <f t="shared" si="1"/>
        <v>335201</v>
      </c>
      <c r="C15" s="60">
        <f t="shared" si="4"/>
        <v>335201</v>
      </c>
      <c r="D15" s="61">
        <f t="shared" si="0"/>
        <v>1.06</v>
      </c>
      <c r="E15" s="64">
        <f t="shared" si="2"/>
        <v>31.622776601683793</v>
      </c>
      <c r="F15" s="62" t="str">
        <f t="shared" si="3"/>
        <v/>
      </c>
    </row>
    <row r="16" spans="1:9">
      <c r="A16" s="60">
        <v>1100</v>
      </c>
      <c r="B16" s="60">
        <f t="shared" si="1"/>
        <v>359854</v>
      </c>
      <c r="C16" s="60">
        <f t="shared" si="4"/>
        <v>359854</v>
      </c>
      <c r="D16" s="61">
        <f t="shared" si="0"/>
        <v>1.085</v>
      </c>
      <c r="E16" s="64">
        <f t="shared" si="2"/>
        <v>33.166247903554002</v>
      </c>
      <c r="F16" s="62" t="str">
        <f t="shared" si="3"/>
        <v/>
      </c>
    </row>
    <row r="17" spans="1:6">
      <c r="A17" s="60">
        <v>1200</v>
      </c>
      <c r="B17" s="60">
        <f t="shared" si="1"/>
        <v>384515</v>
      </c>
      <c r="C17" s="60">
        <f t="shared" si="4"/>
        <v>384515</v>
      </c>
      <c r="D17" s="61">
        <f t="shared" si="0"/>
        <v>1.1100000000000001</v>
      </c>
      <c r="E17" s="64">
        <f t="shared" si="2"/>
        <v>34.641016151377549</v>
      </c>
      <c r="F17" s="62" t="str">
        <f t="shared" si="3"/>
        <v/>
      </c>
    </row>
    <row r="18" spans="1:6">
      <c r="A18" s="60">
        <v>1300</v>
      </c>
      <c r="B18" s="60">
        <f t="shared" si="1"/>
        <v>409230</v>
      </c>
      <c r="C18" s="60">
        <f t="shared" si="4"/>
        <v>409230</v>
      </c>
      <c r="D18" s="61">
        <f t="shared" si="0"/>
        <v>1.135</v>
      </c>
      <c r="E18" s="64">
        <f t="shared" si="2"/>
        <v>36.055512754639892</v>
      </c>
      <c r="F18" s="62" t="str">
        <f t="shared" si="3"/>
        <v/>
      </c>
    </row>
    <row r="19" spans="1:6">
      <c r="A19" s="60">
        <v>1400</v>
      </c>
      <c r="B19" s="60">
        <f t="shared" si="1"/>
        <v>429823</v>
      </c>
      <c r="C19" s="60">
        <f t="shared" si="4"/>
        <v>429823</v>
      </c>
      <c r="D19" s="61">
        <f t="shared" si="0"/>
        <v>1.1487499999999999</v>
      </c>
      <c r="E19" s="64">
        <f t="shared" si="2"/>
        <v>37.416573867739416</v>
      </c>
      <c r="F19" s="62" t="str">
        <f t="shared" si="3"/>
        <v/>
      </c>
    </row>
    <row r="20" spans="1:6">
      <c r="A20" s="60">
        <v>1500</v>
      </c>
      <c r="B20" s="60">
        <f t="shared" si="1"/>
        <v>450234</v>
      </c>
      <c r="C20" s="60">
        <f t="shared" si="4"/>
        <v>450234</v>
      </c>
      <c r="D20" s="61">
        <f t="shared" si="0"/>
        <v>1.1625000000000001</v>
      </c>
      <c r="E20" s="64">
        <f t="shared" si="2"/>
        <v>38.729833462074168</v>
      </c>
      <c r="F20" s="62" t="str">
        <f t="shared" si="3"/>
        <v/>
      </c>
    </row>
    <row r="21" spans="1:6">
      <c r="A21" s="60">
        <v>1600</v>
      </c>
      <c r="B21" s="60">
        <f t="shared" si="1"/>
        <v>470500</v>
      </c>
      <c r="C21" s="60">
        <f t="shared" si="4"/>
        <v>470500</v>
      </c>
      <c r="D21" s="61">
        <f t="shared" si="0"/>
        <v>1.17625</v>
      </c>
      <c r="E21" s="64">
        <f t="shared" si="2"/>
        <v>40</v>
      </c>
      <c r="F21" s="62" t="str">
        <f t="shared" si="3"/>
        <v/>
      </c>
    </row>
    <row r="22" spans="1:6">
      <c r="A22" s="60">
        <v>1700</v>
      </c>
      <c r="B22" s="60">
        <f t="shared" si="1"/>
        <v>490650</v>
      </c>
      <c r="C22" s="60">
        <f t="shared" si="4"/>
        <v>490650</v>
      </c>
      <c r="D22" s="61">
        <f t="shared" si="0"/>
        <v>1.19</v>
      </c>
      <c r="E22" s="64">
        <f t="shared" si="2"/>
        <v>41.231056256176608</v>
      </c>
      <c r="F22" s="62" t="str">
        <f t="shared" si="3"/>
        <v/>
      </c>
    </row>
    <row r="23" spans="1:6">
      <c r="A23" s="60">
        <v>1800</v>
      </c>
      <c r="B23" s="60">
        <f t="shared" si="1"/>
        <v>509117</v>
      </c>
      <c r="C23" s="60">
        <f t="shared" si="4"/>
        <v>509117</v>
      </c>
      <c r="D23" s="61">
        <f t="shared" si="0"/>
        <v>1.2</v>
      </c>
      <c r="E23" s="64">
        <f t="shared" si="2"/>
        <v>42.426406871192853</v>
      </c>
      <c r="F23" s="62" t="str">
        <f t="shared" si="3"/>
        <v/>
      </c>
    </row>
    <row r="24" spans="1:6">
      <c r="A24" s="60">
        <v>1900</v>
      </c>
      <c r="B24" s="60">
        <f t="shared" si="1"/>
        <v>527427</v>
      </c>
      <c r="C24" s="60">
        <f t="shared" si="4"/>
        <v>527427</v>
      </c>
      <c r="D24" s="61">
        <f t="shared" si="0"/>
        <v>1.21</v>
      </c>
      <c r="E24" s="64">
        <f t="shared" si="2"/>
        <v>43.588989435406738</v>
      </c>
      <c r="F24" s="62" t="str">
        <f t="shared" si="3"/>
        <v/>
      </c>
    </row>
    <row r="25" spans="1:6">
      <c r="A25" s="60">
        <v>2000</v>
      </c>
      <c r="B25" s="60">
        <f t="shared" si="1"/>
        <v>545601</v>
      </c>
      <c r="C25" s="60">
        <f t="shared" si="4"/>
        <v>545601</v>
      </c>
      <c r="D25" s="61">
        <f t="shared" si="0"/>
        <v>1.22</v>
      </c>
      <c r="E25" s="64">
        <f t="shared" si="2"/>
        <v>44.721359549995796</v>
      </c>
      <c r="F25" s="62" t="str">
        <f t="shared" si="3"/>
        <v/>
      </c>
    </row>
    <row r="26" spans="1:6">
      <c r="A26" s="60">
        <v>2100</v>
      </c>
      <c r="B26" s="60">
        <f t="shared" si="1"/>
        <v>563657</v>
      </c>
      <c r="C26" s="60">
        <f t="shared" si="4"/>
        <v>563657</v>
      </c>
      <c r="D26" s="61">
        <f t="shared" si="0"/>
        <v>1.23</v>
      </c>
      <c r="E26" s="64">
        <f t="shared" si="2"/>
        <v>45.825756949558397</v>
      </c>
      <c r="F26" s="62" t="str">
        <f t="shared" si="3"/>
        <v/>
      </c>
    </row>
    <row r="27" spans="1:6">
      <c r="A27" s="60">
        <v>2200</v>
      </c>
      <c r="B27" s="60">
        <f t="shared" si="1"/>
        <v>581612</v>
      </c>
      <c r="C27" s="60">
        <f t="shared" si="4"/>
        <v>581612</v>
      </c>
      <c r="D27" s="61">
        <f t="shared" si="0"/>
        <v>1.24</v>
      </c>
      <c r="E27" s="64">
        <f t="shared" si="2"/>
        <v>46.904157598234299</v>
      </c>
      <c r="F27" s="62" t="str">
        <f t="shared" si="3"/>
        <v/>
      </c>
    </row>
    <row r="28" spans="1:6">
      <c r="A28" s="60">
        <v>2300</v>
      </c>
      <c r="B28" s="60">
        <f t="shared" si="1"/>
        <v>595749</v>
      </c>
      <c r="C28" s="60">
        <f t="shared" si="4"/>
        <v>595749</v>
      </c>
      <c r="D28" s="61">
        <f t="shared" si="0"/>
        <v>1.2422222222222221</v>
      </c>
      <c r="E28" s="64">
        <f t="shared" si="2"/>
        <v>47.958315233127195</v>
      </c>
      <c r="F28" s="62" t="str">
        <f t="shared" si="3"/>
        <v/>
      </c>
    </row>
    <row r="29" spans="1:6">
      <c r="A29" s="60">
        <v>2400</v>
      </c>
      <c r="B29" s="60">
        <f t="shared" si="1"/>
        <v>609651</v>
      </c>
      <c r="C29" s="60">
        <f t="shared" si="4"/>
        <v>609651</v>
      </c>
      <c r="D29" s="61">
        <f t="shared" si="0"/>
        <v>1.2444444444444445</v>
      </c>
      <c r="E29" s="64">
        <f t="shared" si="2"/>
        <v>48.989794855663561</v>
      </c>
      <c r="F29" s="62" t="str">
        <f t="shared" si="3"/>
        <v/>
      </c>
    </row>
    <row r="30" spans="1:6">
      <c r="A30" s="60">
        <v>2500</v>
      </c>
      <c r="B30" s="60">
        <f t="shared" si="1"/>
        <v>623333</v>
      </c>
      <c r="C30" s="60">
        <f t="shared" si="4"/>
        <v>623333</v>
      </c>
      <c r="D30" s="61">
        <f t="shared" si="0"/>
        <v>1.2466666666666666</v>
      </c>
      <c r="E30" s="64">
        <f t="shared" si="2"/>
        <v>50</v>
      </c>
      <c r="F30" s="62" t="str">
        <f t="shared" si="3"/>
        <v/>
      </c>
    </row>
    <row r="31" spans="1:6">
      <c r="A31" s="60">
        <v>2600</v>
      </c>
      <c r="B31" s="60">
        <f t="shared" si="1"/>
        <v>636811</v>
      </c>
      <c r="C31" s="60">
        <f t="shared" si="4"/>
        <v>636811</v>
      </c>
      <c r="D31" s="61">
        <f t="shared" si="0"/>
        <v>1.2488888888888889</v>
      </c>
      <c r="E31" s="64">
        <f t="shared" si="2"/>
        <v>50.990195135927848</v>
      </c>
      <c r="F31" s="62" t="str">
        <f t="shared" si="3"/>
        <v/>
      </c>
    </row>
    <row r="32" spans="1:6">
      <c r="A32" s="60">
        <v>2700</v>
      </c>
      <c r="B32" s="60">
        <f t="shared" si="1"/>
        <v>650096</v>
      </c>
      <c r="C32" s="60">
        <f t="shared" si="4"/>
        <v>650096</v>
      </c>
      <c r="D32" s="61">
        <f t="shared" si="0"/>
        <v>1.2511111111111111</v>
      </c>
      <c r="E32" s="64">
        <f t="shared" si="2"/>
        <v>51.96152422706632</v>
      </c>
      <c r="F32" s="62" t="str">
        <f t="shared" si="3"/>
        <v/>
      </c>
    </row>
    <row r="33" spans="1:6">
      <c r="A33" s="60">
        <v>2800</v>
      </c>
      <c r="B33" s="60">
        <f t="shared" si="1"/>
        <v>663202</v>
      </c>
      <c r="C33" s="60">
        <f t="shared" si="4"/>
        <v>663202</v>
      </c>
      <c r="D33" s="61">
        <f t="shared" si="0"/>
        <v>1.2533333333333334</v>
      </c>
      <c r="E33" s="64">
        <f t="shared" si="2"/>
        <v>52.915026221291811</v>
      </c>
      <c r="F33" s="62" t="str">
        <f t="shared" si="3"/>
        <v/>
      </c>
    </row>
    <row r="34" spans="1:6">
      <c r="A34" s="60">
        <v>2900</v>
      </c>
      <c r="B34" s="60">
        <f t="shared" si="1"/>
        <v>676137</v>
      </c>
      <c r="C34" s="60">
        <f t="shared" si="4"/>
        <v>676137</v>
      </c>
      <c r="D34" s="61">
        <f t="shared" si="0"/>
        <v>1.2555555555555555</v>
      </c>
      <c r="E34" s="64">
        <f t="shared" si="2"/>
        <v>53.851648071345039</v>
      </c>
      <c r="F34" s="62" t="str">
        <f t="shared" si="3"/>
        <v/>
      </c>
    </row>
    <row r="35" spans="1:6">
      <c r="A35" s="60">
        <v>3000</v>
      </c>
      <c r="B35" s="60">
        <f t="shared" si="1"/>
        <v>688913</v>
      </c>
      <c r="C35" s="60">
        <f t="shared" si="4"/>
        <v>688913</v>
      </c>
      <c r="D35" s="61">
        <f t="shared" si="0"/>
        <v>1.2577777777777779</v>
      </c>
      <c r="E35" s="64">
        <f t="shared" si="2"/>
        <v>54.772255750516614</v>
      </c>
      <c r="F35" s="62" t="str">
        <f t="shared" si="3"/>
        <v/>
      </c>
    </row>
    <row r="36" spans="1:6">
      <c r="A36" s="60">
        <v>3100</v>
      </c>
      <c r="B36" s="60">
        <f t="shared" si="1"/>
        <v>701538</v>
      </c>
      <c r="C36" s="60">
        <f t="shared" si="4"/>
        <v>701538</v>
      </c>
      <c r="D36" s="61">
        <f t="shared" si="0"/>
        <v>1.26</v>
      </c>
      <c r="E36" s="64">
        <f t="shared" si="2"/>
        <v>55.677643628300217</v>
      </c>
      <c r="F36" s="62" t="str">
        <f t="shared" si="3"/>
        <v/>
      </c>
    </row>
    <row r="37" spans="1:6">
      <c r="A37" s="60">
        <v>3200</v>
      </c>
      <c r="B37" s="60">
        <f t="shared" si="1"/>
        <v>715592</v>
      </c>
      <c r="C37" s="60">
        <f t="shared" si="4"/>
        <v>715592</v>
      </c>
      <c r="D37" s="61">
        <f t="shared" si="0"/>
        <v>1.2650000000000001</v>
      </c>
      <c r="E37" s="64">
        <f t="shared" si="2"/>
        <v>56.568542494923804</v>
      </c>
      <c r="F37" s="62" t="str">
        <f t="shared" si="3"/>
        <v/>
      </c>
    </row>
    <row r="38" spans="1:6">
      <c r="A38" s="60">
        <v>3300</v>
      </c>
      <c r="B38" s="60">
        <f t="shared" si="1"/>
        <v>729559</v>
      </c>
      <c r="C38" s="60">
        <f t="shared" si="4"/>
        <v>729559</v>
      </c>
      <c r="D38" s="61">
        <f t="shared" si="0"/>
        <v>1.27</v>
      </c>
      <c r="E38" s="64">
        <f t="shared" si="2"/>
        <v>57.445626465380286</v>
      </c>
      <c r="F38" s="62" t="str">
        <f t="shared" si="3"/>
        <v/>
      </c>
    </row>
    <row r="39" spans="1:6">
      <c r="A39" s="60">
        <v>3400</v>
      </c>
      <c r="B39" s="60">
        <f t="shared" si="1"/>
        <v>739802</v>
      </c>
      <c r="C39" s="60">
        <f t="shared" si="4"/>
        <v>739802</v>
      </c>
      <c r="D39" s="61">
        <f t="shared" si="0"/>
        <v>1.26875</v>
      </c>
      <c r="E39" s="64">
        <f t="shared" si="2"/>
        <v>58.309518948453004</v>
      </c>
      <c r="F39" s="62" t="str">
        <f t="shared" si="3"/>
        <v/>
      </c>
    </row>
    <row r="40" spans="1:6">
      <c r="A40" s="60">
        <v>3500</v>
      </c>
      <c r="B40" s="60">
        <f t="shared" si="1"/>
        <v>749863</v>
      </c>
      <c r="C40" s="60">
        <f t="shared" si="4"/>
        <v>749863</v>
      </c>
      <c r="D40" s="61">
        <f t="shared" si="0"/>
        <v>1.2675000000000001</v>
      </c>
      <c r="E40" s="64">
        <f t="shared" si="2"/>
        <v>59.16079783099616</v>
      </c>
      <c r="F40" s="62" t="str">
        <f t="shared" si="3"/>
        <v/>
      </c>
    </row>
    <row r="41" spans="1:6">
      <c r="A41" s="60">
        <v>3600</v>
      </c>
      <c r="B41" s="60">
        <f t="shared" si="1"/>
        <v>759750</v>
      </c>
      <c r="C41" s="60">
        <f t="shared" si="4"/>
        <v>759750</v>
      </c>
      <c r="D41" s="61">
        <f t="shared" si="0"/>
        <v>1.2662500000000001</v>
      </c>
      <c r="E41" s="64">
        <f t="shared" si="2"/>
        <v>60</v>
      </c>
      <c r="F41" s="62" t="str">
        <f t="shared" si="3"/>
        <v/>
      </c>
    </row>
    <row r="42" spans="1:6">
      <c r="A42" s="60">
        <v>3700</v>
      </c>
      <c r="B42" s="60">
        <f t="shared" si="1"/>
        <v>769469</v>
      </c>
      <c r="C42" s="60">
        <f t="shared" si="4"/>
        <v>769469</v>
      </c>
      <c r="D42" s="61">
        <f t="shared" si="0"/>
        <v>1.2650000000000001</v>
      </c>
      <c r="E42" s="64">
        <f t="shared" si="2"/>
        <v>60.827625302982199</v>
      </c>
      <c r="F42" s="62" t="str">
        <f t="shared" si="3"/>
        <v/>
      </c>
    </row>
    <row r="43" spans="1:6">
      <c r="A43" s="60">
        <v>3800</v>
      </c>
      <c r="B43" s="60">
        <f t="shared" si="1"/>
        <v>779028</v>
      </c>
      <c r="C43" s="60">
        <f t="shared" si="4"/>
        <v>779028</v>
      </c>
      <c r="D43" s="61">
        <f t="shared" si="0"/>
        <v>1.2637499999999999</v>
      </c>
      <c r="E43" s="64">
        <f t="shared" si="2"/>
        <v>61.644140029689765</v>
      </c>
      <c r="F43" s="62" t="str">
        <f t="shared" si="3"/>
        <v/>
      </c>
    </row>
    <row r="44" spans="1:6">
      <c r="A44" s="60">
        <v>3900</v>
      </c>
      <c r="B44" s="60">
        <f t="shared" si="1"/>
        <v>788431</v>
      </c>
      <c r="C44" s="60">
        <f t="shared" si="4"/>
        <v>788431</v>
      </c>
      <c r="D44" s="61">
        <f t="shared" si="0"/>
        <v>1.2625</v>
      </c>
      <c r="E44" s="64">
        <f t="shared" si="2"/>
        <v>62.44997998398398</v>
      </c>
      <c r="F44" s="62" t="str">
        <f t="shared" si="3"/>
        <v/>
      </c>
    </row>
    <row r="45" spans="1:6">
      <c r="A45" s="60">
        <v>4000</v>
      </c>
      <c r="B45" s="60">
        <f t="shared" si="1"/>
        <v>797685</v>
      </c>
      <c r="C45" s="60">
        <f t="shared" si="4"/>
        <v>797685</v>
      </c>
      <c r="D45" s="61">
        <f t="shared" si="0"/>
        <v>1.26125</v>
      </c>
      <c r="E45" s="64">
        <f t="shared" si="2"/>
        <v>63.245553203367585</v>
      </c>
      <c r="F45" s="62" t="str">
        <f t="shared" si="3"/>
        <v/>
      </c>
    </row>
    <row r="46" spans="1:6">
      <c r="A46" s="60">
        <v>4100</v>
      </c>
      <c r="B46" s="60">
        <f t="shared" si="1"/>
        <v>806794</v>
      </c>
      <c r="C46" s="60">
        <f t="shared" si="4"/>
        <v>806794</v>
      </c>
      <c r="D46" s="61">
        <f t="shared" si="0"/>
        <v>1.26</v>
      </c>
      <c r="E46" s="64">
        <f t="shared" si="2"/>
        <v>64.031242374328485</v>
      </c>
      <c r="F46" s="62" t="str">
        <f t="shared" si="3"/>
        <v/>
      </c>
    </row>
    <row r="47" spans="1:6">
      <c r="A47" s="60">
        <v>4200</v>
      </c>
      <c r="B47" s="60">
        <f t="shared" si="1"/>
        <v>815763</v>
      </c>
      <c r="C47" s="60">
        <f t="shared" si="4"/>
        <v>815763</v>
      </c>
      <c r="D47" s="61">
        <f t="shared" si="0"/>
        <v>1.25875</v>
      </c>
      <c r="E47" s="64">
        <f t="shared" si="2"/>
        <v>64.807406984078597</v>
      </c>
      <c r="F47" s="62" t="str">
        <f t="shared" si="3"/>
        <v/>
      </c>
    </row>
    <row r="48" spans="1:6">
      <c r="A48" s="60">
        <v>4300</v>
      </c>
      <c r="B48" s="60">
        <f t="shared" si="1"/>
        <v>824598</v>
      </c>
      <c r="C48" s="60">
        <f t="shared" si="4"/>
        <v>824598</v>
      </c>
      <c r="D48" s="61">
        <f t="shared" si="0"/>
        <v>1.2575000000000001</v>
      </c>
      <c r="E48" s="64">
        <f t="shared" si="2"/>
        <v>65.574385243020004</v>
      </c>
      <c r="F48" s="62" t="str">
        <f t="shared" si="3"/>
        <v/>
      </c>
    </row>
    <row r="49" spans="1:6">
      <c r="A49" s="60">
        <v>4400</v>
      </c>
      <c r="B49" s="60">
        <f t="shared" si="1"/>
        <v>833302</v>
      </c>
      <c r="C49" s="60">
        <f t="shared" si="4"/>
        <v>833302</v>
      </c>
      <c r="D49" s="61">
        <f t="shared" si="0"/>
        <v>1.2562500000000001</v>
      </c>
      <c r="E49" s="64">
        <f t="shared" si="2"/>
        <v>66.332495807108003</v>
      </c>
      <c r="F49" s="62" t="str">
        <f t="shared" si="3"/>
        <v/>
      </c>
    </row>
    <row r="50" spans="1:6">
      <c r="A50" s="60">
        <v>4500</v>
      </c>
      <c r="B50" s="60">
        <f t="shared" si="1"/>
        <v>841880</v>
      </c>
      <c r="C50" s="60">
        <f t="shared" si="4"/>
        <v>841880</v>
      </c>
      <c r="D50" s="61">
        <f t="shared" si="0"/>
        <v>1.2549999999999999</v>
      </c>
      <c r="E50" s="64">
        <f t="shared" si="2"/>
        <v>67.082039324993687</v>
      </c>
      <c r="F50" s="62" t="str">
        <f t="shared" si="3"/>
        <v/>
      </c>
    </row>
    <row r="51" spans="1:6">
      <c r="A51" s="60">
        <v>4600</v>
      </c>
      <c r="B51" s="60">
        <f t="shared" si="1"/>
        <v>850335</v>
      </c>
      <c r="C51" s="60">
        <f t="shared" si="4"/>
        <v>850335</v>
      </c>
      <c r="D51" s="61">
        <f t="shared" si="0"/>
        <v>1.2537499999999999</v>
      </c>
      <c r="E51" s="64">
        <f t="shared" si="2"/>
        <v>67.823299831252683</v>
      </c>
      <c r="F51" s="62" t="str">
        <f t="shared" si="3"/>
        <v/>
      </c>
    </row>
    <row r="52" spans="1:6">
      <c r="A52" s="60">
        <v>4700</v>
      </c>
      <c r="B52" s="60">
        <f t="shared" si="1"/>
        <v>858671</v>
      </c>
      <c r="C52" s="60">
        <f t="shared" si="4"/>
        <v>858671</v>
      </c>
      <c r="D52" s="61">
        <f t="shared" si="0"/>
        <v>1.2524999999999999</v>
      </c>
      <c r="E52" s="64">
        <f t="shared" si="2"/>
        <v>68.556546004010443</v>
      </c>
      <c r="F52" s="62" t="str">
        <f t="shared" si="3"/>
        <v/>
      </c>
    </row>
    <row r="53" spans="1:6">
      <c r="A53" s="60">
        <v>4800</v>
      </c>
      <c r="B53" s="60">
        <f t="shared" si="1"/>
        <v>866891</v>
      </c>
      <c r="C53" s="60">
        <f t="shared" si="4"/>
        <v>866891</v>
      </c>
      <c r="D53" s="61">
        <f t="shared" si="0"/>
        <v>1.25125</v>
      </c>
      <c r="E53" s="64">
        <f t="shared" si="2"/>
        <v>69.282032302755098</v>
      </c>
      <c r="F53" s="62" t="str">
        <f t="shared" si="3"/>
        <v/>
      </c>
    </row>
    <row r="54" spans="1:6">
      <c r="A54" s="60">
        <v>4900</v>
      </c>
      <c r="B54" s="60">
        <f t="shared" si="1"/>
        <v>875000</v>
      </c>
      <c r="C54" s="60">
        <f t="shared" si="4"/>
        <v>875000</v>
      </c>
      <c r="D54" s="61">
        <f t="shared" si="0"/>
        <v>1.25</v>
      </c>
      <c r="E54" s="64">
        <f t="shared" si="2"/>
        <v>70</v>
      </c>
      <c r="F54" s="62" t="str">
        <f t="shared" si="3"/>
        <v/>
      </c>
    </row>
    <row r="55" spans="1:6">
      <c r="A55" s="60">
        <v>5000</v>
      </c>
      <c r="B55" s="60">
        <f t="shared" si="1"/>
        <v>881526</v>
      </c>
      <c r="C55" s="60">
        <f t="shared" si="4"/>
        <v>881526</v>
      </c>
      <c r="D55" s="61">
        <f t="shared" si="0"/>
        <v>1.2466666666666666</v>
      </c>
      <c r="E55" s="64">
        <f t="shared" si="2"/>
        <v>70.710678118654755</v>
      </c>
      <c r="F55" s="62" t="str">
        <f t="shared" si="3"/>
        <v/>
      </c>
    </row>
    <row r="56" spans="1:6">
      <c r="A56" s="60">
        <v>5100</v>
      </c>
      <c r="B56" s="60">
        <f t="shared" si="1"/>
        <v>887918</v>
      </c>
      <c r="C56" s="60">
        <f t="shared" si="4"/>
        <v>887918</v>
      </c>
      <c r="D56" s="61">
        <f t="shared" si="0"/>
        <v>1.2433333333333334</v>
      </c>
      <c r="E56" s="64">
        <f t="shared" si="2"/>
        <v>71.414284285428494</v>
      </c>
      <c r="F56" s="62" t="str">
        <f t="shared" si="3"/>
        <v/>
      </c>
    </row>
    <row r="57" spans="1:6">
      <c r="A57" s="60">
        <v>5200</v>
      </c>
      <c r="B57" s="60">
        <f t="shared" si="1"/>
        <v>894177</v>
      </c>
      <c r="C57" s="60">
        <f t="shared" si="4"/>
        <v>894177</v>
      </c>
      <c r="D57" s="61">
        <f t="shared" si="0"/>
        <v>1.24</v>
      </c>
      <c r="E57" s="64">
        <f t="shared" si="2"/>
        <v>72.111025509279784</v>
      </c>
      <c r="F57" s="62" t="str">
        <f t="shared" si="3"/>
        <v/>
      </c>
    </row>
    <row r="58" spans="1:6">
      <c r="A58" s="60">
        <v>5300</v>
      </c>
      <c r="B58" s="60">
        <f t="shared" si="1"/>
        <v>900307</v>
      </c>
      <c r="C58" s="60">
        <f t="shared" si="4"/>
        <v>900307</v>
      </c>
      <c r="D58" s="61">
        <f t="shared" si="0"/>
        <v>1.2366666666666666</v>
      </c>
      <c r="E58" s="64">
        <f t="shared" si="2"/>
        <v>72.801098892805186</v>
      </c>
      <c r="F58" s="62" t="str">
        <f t="shared" si="3"/>
        <v/>
      </c>
    </row>
    <row r="59" spans="1:6">
      <c r="A59" s="60">
        <v>5400</v>
      </c>
      <c r="B59" s="60">
        <f t="shared" si="1"/>
        <v>906311</v>
      </c>
      <c r="C59" s="60">
        <f t="shared" si="4"/>
        <v>906311</v>
      </c>
      <c r="D59" s="61">
        <f t="shared" si="0"/>
        <v>1.2333333333333334</v>
      </c>
      <c r="E59" s="64">
        <f t="shared" si="2"/>
        <v>73.484692283495349</v>
      </c>
      <c r="F59" s="62" t="str">
        <f t="shared" si="3"/>
        <v/>
      </c>
    </row>
    <row r="60" spans="1:6">
      <c r="A60" s="60">
        <v>5500</v>
      </c>
      <c r="B60" s="60">
        <f t="shared" si="1"/>
        <v>912192</v>
      </c>
      <c r="C60" s="60">
        <f t="shared" si="4"/>
        <v>912192</v>
      </c>
      <c r="D60" s="61">
        <f t="shared" si="0"/>
        <v>1.23</v>
      </c>
      <c r="E60" s="64">
        <f t="shared" si="2"/>
        <v>74.16198487095663</v>
      </c>
      <c r="F60" s="62" t="str">
        <f t="shared" si="3"/>
        <v/>
      </c>
    </row>
    <row r="61" spans="1:6">
      <c r="A61" s="60">
        <v>5600</v>
      </c>
      <c r="B61" s="60">
        <f t="shared" si="1"/>
        <v>917953</v>
      </c>
      <c r="C61" s="60">
        <f t="shared" si="4"/>
        <v>917953</v>
      </c>
      <c r="D61" s="61">
        <f t="shared" si="0"/>
        <v>1.2266666666666666</v>
      </c>
      <c r="E61" s="64">
        <f t="shared" si="2"/>
        <v>74.833147735478832</v>
      </c>
      <c r="F61" s="62" t="str">
        <f t="shared" si="3"/>
        <v/>
      </c>
    </row>
    <row r="62" spans="1:6">
      <c r="A62" s="60">
        <v>5700</v>
      </c>
      <c r="B62" s="60">
        <f t="shared" si="1"/>
        <v>923596</v>
      </c>
      <c r="C62" s="60">
        <f t="shared" si="4"/>
        <v>923596</v>
      </c>
      <c r="D62" s="61">
        <f t="shared" si="0"/>
        <v>1.2233333333333334</v>
      </c>
      <c r="E62" s="64">
        <f t="shared" si="2"/>
        <v>75.498344352707491</v>
      </c>
      <c r="F62" s="62" t="str">
        <f t="shared" si="3"/>
        <v/>
      </c>
    </row>
    <row r="63" spans="1:6">
      <c r="A63" s="60">
        <v>5800</v>
      </c>
      <c r="B63" s="60">
        <f t="shared" si="1"/>
        <v>929124</v>
      </c>
      <c r="C63" s="60">
        <f t="shared" si="4"/>
        <v>929124</v>
      </c>
      <c r="D63" s="61">
        <f t="shared" si="0"/>
        <v>1.22</v>
      </c>
      <c r="E63" s="64">
        <f t="shared" si="2"/>
        <v>76.157731058639087</v>
      </c>
      <c r="F63" s="62" t="str">
        <f t="shared" si="3"/>
        <v/>
      </c>
    </row>
    <row r="64" spans="1:6">
      <c r="A64" s="60">
        <v>5900</v>
      </c>
      <c r="B64" s="60">
        <f t="shared" si="1"/>
        <v>934539</v>
      </c>
      <c r="C64" s="60">
        <f t="shared" si="4"/>
        <v>934539</v>
      </c>
      <c r="D64" s="61">
        <f t="shared" si="0"/>
        <v>1.2166666666666666</v>
      </c>
      <c r="E64" s="64">
        <f t="shared" si="2"/>
        <v>76.81145747868608</v>
      </c>
      <c r="F64" s="62" t="str">
        <f t="shared" si="3"/>
        <v/>
      </c>
    </row>
    <row r="65" spans="1:6">
      <c r="A65" s="60">
        <v>6000</v>
      </c>
      <c r="B65" s="60">
        <f t="shared" si="1"/>
        <v>939844</v>
      </c>
      <c r="C65" s="60">
        <f t="shared" si="4"/>
        <v>939844</v>
      </c>
      <c r="D65" s="61">
        <f t="shared" si="0"/>
        <v>1.2133333333333334</v>
      </c>
      <c r="E65" s="64">
        <f t="shared" si="2"/>
        <v>77.459666924148337</v>
      </c>
      <c r="F65" s="62" t="str">
        <f t="shared" si="3"/>
        <v/>
      </c>
    </row>
    <row r="66" spans="1:6">
      <c r="A66" s="60">
        <v>6100</v>
      </c>
      <c r="B66" s="60">
        <f t="shared" si="1"/>
        <v>945040</v>
      </c>
      <c r="C66" s="60">
        <f t="shared" si="4"/>
        <v>945040</v>
      </c>
      <c r="D66" s="61">
        <f t="shared" si="0"/>
        <v>1.21</v>
      </c>
      <c r="E66" s="64">
        <f t="shared" si="2"/>
        <v>78.10249675906654</v>
      </c>
      <c r="F66" s="62" t="str">
        <f t="shared" si="3"/>
        <v/>
      </c>
    </row>
    <row r="67" spans="1:6">
      <c r="A67" s="60">
        <v>6200</v>
      </c>
      <c r="B67" s="60">
        <f t="shared" si="1"/>
        <v>950130</v>
      </c>
      <c r="C67" s="60">
        <f t="shared" si="4"/>
        <v>950130</v>
      </c>
      <c r="D67" s="61">
        <f t="shared" si="0"/>
        <v>1.2066666666666666</v>
      </c>
      <c r="E67" s="64">
        <f t="shared" si="2"/>
        <v>78.740078740118108</v>
      </c>
      <c r="F67" s="62" t="str">
        <f t="shared" si="3"/>
        <v/>
      </c>
    </row>
    <row r="68" spans="1:6">
      <c r="A68" s="60">
        <v>6300</v>
      </c>
      <c r="B68" s="60">
        <f t="shared" si="1"/>
        <v>955116</v>
      </c>
      <c r="C68" s="60">
        <f t="shared" si="4"/>
        <v>955116</v>
      </c>
      <c r="D68" s="61">
        <f t="shared" si="0"/>
        <v>1.2033333333333334</v>
      </c>
      <c r="E68" s="64">
        <f t="shared" si="2"/>
        <v>79.372539331937716</v>
      </c>
      <c r="F68" s="62" t="str">
        <f t="shared" si="3"/>
        <v/>
      </c>
    </row>
    <row r="69" spans="1:6">
      <c r="A69" s="60">
        <v>6400</v>
      </c>
      <c r="B69" s="60">
        <f t="shared" si="1"/>
        <v>960000</v>
      </c>
      <c r="C69" s="60">
        <f t="shared" si="4"/>
        <v>960000</v>
      </c>
      <c r="D69" s="61">
        <f t="shared" ref="D69:D132" si="5">(A69-INDEX(兵力区间,MATCH(A69,兵力区间,1)))/(INDEX(兵力区间,MATCH(A69,兵力区间,1)+1)-INDEX(兵力区间,MATCH(A69,兵力区间,1)))*((INDEX(兵力调节,MATCH(A69,兵力区间,1)+1,2)-INDEX(兵力调节,MATCH(A69,兵力区间,1),2)))+INDEX(兵力调节,MATCH(A69,兵力区间,1),2)</f>
        <v>1.2</v>
      </c>
      <c r="E69" s="64">
        <f t="shared" si="2"/>
        <v>80</v>
      </c>
      <c r="F69" s="62" t="str">
        <f t="shared" si="3"/>
        <v/>
      </c>
    </row>
    <row r="70" spans="1:6">
      <c r="A70" s="60">
        <v>6500</v>
      </c>
      <c r="B70" s="60">
        <f t="shared" si="1"/>
        <v>965858</v>
      </c>
      <c r="C70" s="60">
        <f t="shared" si="4"/>
        <v>965858</v>
      </c>
      <c r="D70" s="61">
        <f t="shared" si="5"/>
        <v>1.198</v>
      </c>
      <c r="E70" s="64">
        <f t="shared" si="2"/>
        <v>80.622577482985491</v>
      </c>
      <c r="F70" s="62" t="str">
        <f t="shared" si="3"/>
        <v/>
      </c>
    </row>
    <row r="71" spans="1:6">
      <c r="A71" s="60">
        <v>6600</v>
      </c>
      <c r="B71" s="60">
        <f t="shared" ref="B71:B134" si="6">ROUND(D71*E71*10000,0)</f>
        <v>971635</v>
      </c>
      <c r="C71" s="60">
        <f t="shared" si="4"/>
        <v>971635</v>
      </c>
      <c r="D71" s="61">
        <f t="shared" si="5"/>
        <v>1.196</v>
      </c>
      <c r="E71" s="64">
        <f t="shared" ref="E71:E134" si="7">A71^0.5</f>
        <v>81.240384046359608</v>
      </c>
      <c r="F71" s="62" t="str">
        <f t="shared" si="3"/>
        <v/>
      </c>
    </row>
    <row r="72" spans="1:6">
      <c r="A72" s="60">
        <v>6700</v>
      </c>
      <c r="B72" s="60">
        <f t="shared" si="6"/>
        <v>977331</v>
      </c>
      <c r="C72" s="60">
        <f t="shared" si="4"/>
        <v>977331</v>
      </c>
      <c r="D72" s="61">
        <f t="shared" si="5"/>
        <v>1.194</v>
      </c>
      <c r="E72" s="64">
        <f t="shared" si="7"/>
        <v>81.853527718724493</v>
      </c>
      <c r="F72" s="62" t="str">
        <f t="shared" ref="F72:F135" si="8">IF(B72&lt;B71,1,"")</f>
        <v/>
      </c>
    </row>
    <row r="73" spans="1:6">
      <c r="A73" s="60">
        <v>6800</v>
      </c>
      <c r="B73" s="60">
        <f t="shared" si="6"/>
        <v>982948</v>
      </c>
      <c r="C73" s="60">
        <f t="shared" si="4"/>
        <v>982948</v>
      </c>
      <c r="D73" s="61">
        <f t="shared" si="5"/>
        <v>1.1919999999999999</v>
      </c>
      <c r="E73" s="64">
        <f t="shared" si="7"/>
        <v>82.462112512353215</v>
      </c>
      <c r="F73" s="62" t="str">
        <f t="shared" si="8"/>
        <v/>
      </c>
    </row>
    <row r="74" spans="1:6">
      <c r="A74" s="60">
        <v>6900</v>
      </c>
      <c r="B74" s="60">
        <f t="shared" si="6"/>
        <v>988488</v>
      </c>
      <c r="C74" s="60">
        <f t="shared" si="4"/>
        <v>988488</v>
      </c>
      <c r="D74" s="61">
        <f t="shared" si="5"/>
        <v>1.19</v>
      </c>
      <c r="E74" s="64">
        <f t="shared" si="7"/>
        <v>83.066238629180745</v>
      </c>
      <c r="F74" s="62" t="str">
        <f t="shared" si="8"/>
        <v/>
      </c>
    </row>
    <row r="75" spans="1:6">
      <c r="A75" s="60">
        <v>7000</v>
      </c>
      <c r="B75" s="60">
        <f t="shared" si="6"/>
        <v>993952</v>
      </c>
      <c r="C75" s="60">
        <f t="shared" ref="C75:C138" si="9">ROUND(D75*E75*10000,0)</f>
        <v>993952</v>
      </c>
      <c r="D75" s="61">
        <f t="shared" si="5"/>
        <v>1.1879999999999999</v>
      </c>
      <c r="E75" s="64">
        <f t="shared" si="7"/>
        <v>83.66600265340756</v>
      </c>
      <c r="F75" s="62" t="str">
        <f t="shared" si="8"/>
        <v/>
      </c>
    </row>
    <row r="76" spans="1:6">
      <c r="A76" s="60">
        <v>7100</v>
      </c>
      <c r="B76" s="60">
        <f t="shared" si="6"/>
        <v>999341</v>
      </c>
      <c r="C76" s="60">
        <f t="shared" si="9"/>
        <v>999341</v>
      </c>
      <c r="D76" s="61">
        <f t="shared" si="5"/>
        <v>1.1859999999999999</v>
      </c>
      <c r="E76" s="64">
        <f t="shared" si="7"/>
        <v>84.261497731763583</v>
      </c>
      <c r="F76" s="62" t="str">
        <f t="shared" si="8"/>
        <v/>
      </c>
    </row>
    <row r="77" spans="1:6">
      <c r="A77" s="60">
        <v>7200</v>
      </c>
      <c r="B77" s="60">
        <f t="shared" si="6"/>
        <v>1004657</v>
      </c>
      <c r="C77" s="60">
        <f t="shared" si="9"/>
        <v>1004657</v>
      </c>
      <c r="D77" s="61">
        <f t="shared" si="5"/>
        <v>1.1839999999999999</v>
      </c>
      <c r="E77" s="64">
        <f t="shared" si="7"/>
        <v>84.852813742385706</v>
      </c>
      <c r="F77" s="62" t="str">
        <f t="shared" si="8"/>
        <v/>
      </c>
    </row>
    <row r="78" spans="1:6">
      <c r="A78" s="60">
        <v>7300</v>
      </c>
      <c r="B78" s="60">
        <f t="shared" si="6"/>
        <v>1009901</v>
      </c>
      <c r="C78" s="60">
        <f t="shared" si="9"/>
        <v>1009901</v>
      </c>
      <c r="D78" s="61">
        <f t="shared" si="5"/>
        <v>1.1819999999999999</v>
      </c>
      <c r="E78" s="64">
        <f t="shared" si="7"/>
        <v>85.440037453175307</v>
      </c>
      <c r="F78" s="62" t="str">
        <f t="shared" si="8"/>
        <v/>
      </c>
    </row>
    <row r="79" spans="1:6">
      <c r="A79" s="60">
        <v>7400</v>
      </c>
      <c r="B79" s="60">
        <f t="shared" si="6"/>
        <v>1015074</v>
      </c>
      <c r="C79" s="60">
        <f t="shared" si="9"/>
        <v>1015074</v>
      </c>
      <c r="D79" s="61">
        <f t="shared" si="5"/>
        <v>1.18</v>
      </c>
      <c r="E79" s="64">
        <f t="shared" si="7"/>
        <v>86.023252670426274</v>
      </c>
      <c r="F79" s="62" t="str">
        <f t="shared" si="8"/>
        <v/>
      </c>
    </row>
    <row r="80" spans="1:6">
      <c r="A80" s="60">
        <v>7500</v>
      </c>
      <c r="B80" s="60">
        <f t="shared" si="6"/>
        <v>1020178</v>
      </c>
      <c r="C80" s="60">
        <f t="shared" si="9"/>
        <v>1020178</v>
      </c>
      <c r="D80" s="61">
        <f t="shared" si="5"/>
        <v>1.1779999999999999</v>
      </c>
      <c r="E80" s="64">
        <f t="shared" si="7"/>
        <v>86.602540378443862</v>
      </c>
      <c r="F80" s="62" t="str">
        <f t="shared" si="8"/>
        <v/>
      </c>
    </row>
    <row r="81" spans="1:6">
      <c r="A81" s="60">
        <v>7600</v>
      </c>
      <c r="B81" s="60">
        <f t="shared" si="6"/>
        <v>1025213</v>
      </c>
      <c r="C81" s="60">
        <f t="shared" si="9"/>
        <v>1025213</v>
      </c>
      <c r="D81" s="61">
        <f t="shared" si="5"/>
        <v>1.1759999999999999</v>
      </c>
      <c r="E81" s="64">
        <f t="shared" si="7"/>
        <v>87.177978870813476</v>
      </c>
      <c r="F81" s="62" t="str">
        <f t="shared" si="8"/>
        <v/>
      </c>
    </row>
    <row r="82" spans="1:6">
      <c r="A82" s="60">
        <v>7700</v>
      </c>
      <c r="B82" s="60">
        <f t="shared" si="6"/>
        <v>1030181</v>
      </c>
      <c r="C82" s="60">
        <f t="shared" si="9"/>
        <v>1030181</v>
      </c>
      <c r="D82" s="61">
        <f t="shared" si="5"/>
        <v>1.1739999999999999</v>
      </c>
      <c r="E82" s="64">
        <f t="shared" si="7"/>
        <v>87.749643873921215</v>
      </c>
      <c r="F82" s="62" t="str">
        <f t="shared" si="8"/>
        <v/>
      </c>
    </row>
    <row r="83" spans="1:6">
      <c r="A83" s="60">
        <v>7800</v>
      </c>
      <c r="B83" s="60">
        <f t="shared" si="6"/>
        <v>1035082</v>
      </c>
      <c r="C83" s="60">
        <f t="shared" si="9"/>
        <v>1035082</v>
      </c>
      <c r="D83" s="61">
        <f t="shared" si="5"/>
        <v>1.1719999999999999</v>
      </c>
      <c r="E83" s="64">
        <f t="shared" si="7"/>
        <v>88.317608663278463</v>
      </c>
      <c r="F83" s="62" t="str">
        <f t="shared" si="8"/>
        <v/>
      </c>
    </row>
    <row r="84" spans="1:6">
      <c r="A84" s="60">
        <v>7900</v>
      </c>
      <c r="B84" s="60">
        <f t="shared" si="6"/>
        <v>1039919</v>
      </c>
      <c r="C84" s="60">
        <f t="shared" si="9"/>
        <v>1039919</v>
      </c>
      <c r="D84" s="61">
        <f t="shared" si="5"/>
        <v>1.17</v>
      </c>
      <c r="E84" s="64">
        <f t="shared" si="7"/>
        <v>88.881944173155887</v>
      </c>
      <c r="F84" s="62" t="str">
        <f t="shared" si="8"/>
        <v/>
      </c>
    </row>
    <row r="85" spans="1:6">
      <c r="A85" s="60">
        <v>8000</v>
      </c>
      <c r="B85" s="60">
        <f t="shared" si="6"/>
        <v>1044691</v>
      </c>
      <c r="C85" s="60">
        <f t="shared" si="9"/>
        <v>1044691</v>
      </c>
      <c r="D85" s="61">
        <f t="shared" si="5"/>
        <v>1.1679999999999999</v>
      </c>
      <c r="E85" s="64">
        <f t="shared" si="7"/>
        <v>89.442719099991592</v>
      </c>
      <c r="F85" s="62" t="str">
        <f t="shared" si="8"/>
        <v/>
      </c>
    </row>
    <row r="86" spans="1:6">
      <c r="A86" s="60">
        <v>8100</v>
      </c>
      <c r="B86" s="60">
        <f t="shared" si="6"/>
        <v>1049400</v>
      </c>
      <c r="C86" s="60">
        <f t="shared" si="9"/>
        <v>1049400</v>
      </c>
      <c r="D86" s="61">
        <f t="shared" si="5"/>
        <v>1.1659999999999999</v>
      </c>
      <c r="E86" s="64">
        <f t="shared" si="7"/>
        <v>90</v>
      </c>
      <c r="F86" s="62" t="str">
        <f t="shared" si="8"/>
        <v/>
      </c>
    </row>
    <row r="87" spans="1:6">
      <c r="A87" s="60">
        <v>8200</v>
      </c>
      <c r="B87" s="60">
        <f t="shared" si="6"/>
        <v>1052712</v>
      </c>
      <c r="C87" s="60">
        <f t="shared" si="9"/>
        <v>1052712</v>
      </c>
      <c r="D87" s="61">
        <f t="shared" si="5"/>
        <v>1.1625263157894736</v>
      </c>
      <c r="E87" s="64">
        <f t="shared" si="7"/>
        <v>90.553851381374173</v>
      </c>
      <c r="F87" s="62" t="str">
        <f t="shared" si="8"/>
        <v/>
      </c>
    </row>
    <row r="88" spans="1:6">
      <c r="A88" s="60">
        <v>8300</v>
      </c>
      <c r="B88" s="60">
        <f t="shared" si="6"/>
        <v>1055947</v>
      </c>
      <c r="C88" s="60">
        <f t="shared" si="9"/>
        <v>1055947</v>
      </c>
      <c r="D88" s="61">
        <f t="shared" si="5"/>
        <v>1.1590526315789473</v>
      </c>
      <c r="E88" s="64">
        <f t="shared" si="7"/>
        <v>91.104335791442992</v>
      </c>
      <c r="F88" s="62" t="str">
        <f t="shared" si="8"/>
        <v/>
      </c>
    </row>
    <row r="89" spans="1:6">
      <c r="A89" s="60">
        <v>8400</v>
      </c>
      <c r="B89" s="60">
        <f t="shared" si="6"/>
        <v>1059106</v>
      </c>
      <c r="C89" s="60">
        <f t="shared" si="9"/>
        <v>1059106</v>
      </c>
      <c r="D89" s="61">
        <f t="shared" si="5"/>
        <v>1.155578947368421</v>
      </c>
      <c r="E89" s="64">
        <f t="shared" si="7"/>
        <v>91.651513899116793</v>
      </c>
      <c r="F89" s="62" t="str">
        <f t="shared" si="8"/>
        <v/>
      </c>
    </row>
    <row r="90" spans="1:6">
      <c r="A90" s="60">
        <v>8500</v>
      </c>
      <c r="B90" s="60">
        <f t="shared" si="6"/>
        <v>1062189</v>
      </c>
      <c r="C90" s="60">
        <f t="shared" si="9"/>
        <v>1062189</v>
      </c>
      <c r="D90" s="61">
        <f t="shared" si="5"/>
        <v>1.1521052631578947</v>
      </c>
      <c r="E90" s="64">
        <f t="shared" si="7"/>
        <v>92.195444572928878</v>
      </c>
      <c r="F90" s="62" t="str">
        <f t="shared" si="8"/>
        <v/>
      </c>
    </row>
    <row r="91" spans="1:6">
      <c r="A91" s="60">
        <v>8600</v>
      </c>
      <c r="B91" s="60">
        <f t="shared" si="6"/>
        <v>1065197</v>
      </c>
      <c r="C91" s="60">
        <f t="shared" si="9"/>
        <v>1065197</v>
      </c>
      <c r="D91" s="61">
        <f t="shared" si="5"/>
        <v>1.1486315789473684</v>
      </c>
      <c r="E91" s="64">
        <f t="shared" si="7"/>
        <v>92.736184954957039</v>
      </c>
      <c r="F91" s="62" t="str">
        <f t="shared" si="8"/>
        <v/>
      </c>
    </row>
    <row r="92" spans="1:6">
      <c r="A92" s="60">
        <v>8700</v>
      </c>
      <c r="B92" s="60">
        <f t="shared" si="6"/>
        <v>1068132</v>
      </c>
      <c r="C92" s="60">
        <f t="shared" si="9"/>
        <v>1068132</v>
      </c>
      <c r="D92" s="61">
        <f t="shared" si="5"/>
        <v>1.1451578947368422</v>
      </c>
      <c r="E92" s="64">
        <f t="shared" si="7"/>
        <v>93.273790530888149</v>
      </c>
      <c r="F92" s="62" t="str">
        <f t="shared" si="8"/>
        <v/>
      </c>
    </row>
    <row r="93" spans="1:6">
      <c r="A93" s="60">
        <v>8800</v>
      </c>
      <c r="B93" s="60">
        <f t="shared" si="6"/>
        <v>1070995</v>
      </c>
      <c r="C93" s="60">
        <f t="shared" si="9"/>
        <v>1070995</v>
      </c>
      <c r="D93" s="61">
        <f t="shared" si="5"/>
        <v>1.1416842105263159</v>
      </c>
      <c r="E93" s="64">
        <f t="shared" si="7"/>
        <v>93.808315196468598</v>
      </c>
      <c r="F93" s="62" t="str">
        <f t="shared" si="8"/>
        <v/>
      </c>
    </row>
    <row r="94" spans="1:6">
      <c r="A94" s="60">
        <v>8900</v>
      </c>
      <c r="B94" s="60">
        <f t="shared" si="6"/>
        <v>1073786</v>
      </c>
      <c r="C94" s="60">
        <f t="shared" si="9"/>
        <v>1073786</v>
      </c>
      <c r="D94" s="61">
        <f t="shared" si="5"/>
        <v>1.1382105263157896</v>
      </c>
      <c r="E94" s="64">
        <f t="shared" si="7"/>
        <v>94.339811320566042</v>
      </c>
      <c r="F94" s="62" t="str">
        <f t="shared" si="8"/>
        <v/>
      </c>
    </row>
    <row r="95" spans="1:6">
      <c r="A95" s="60">
        <v>9000</v>
      </c>
      <c r="B95" s="60">
        <f t="shared" si="6"/>
        <v>1076506</v>
      </c>
      <c r="C95" s="60">
        <f t="shared" si="9"/>
        <v>1076506</v>
      </c>
      <c r="D95" s="61">
        <f t="shared" si="5"/>
        <v>1.1347368421052633</v>
      </c>
      <c r="E95" s="64">
        <f t="shared" si="7"/>
        <v>94.868329805051374</v>
      </c>
      <c r="F95" s="62" t="str">
        <f t="shared" si="8"/>
        <v/>
      </c>
    </row>
    <row r="96" spans="1:6">
      <c r="A96" s="60">
        <v>9100</v>
      </c>
      <c r="B96" s="60">
        <f t="shared" si="6"/>
        <v>1079156</v>
      </c>
      <c r="C96" s="60">
        <f t="shared" si="9"/>
        <v>1079156</v>
      </c>
      <c r="D96" s="61">
        <f t="shared" si="5"/>
        <v>1.1312631578947367</v>
      </c>
      <c r="E96" s="64">
        <f t="shared" si="7"/>
        <v>95.393920141694565</v>
      </c>
      <c r="F96" s="62" t="str">
        <f t="shared" si="8"/>
        <v/>
      </c>
    </row>
    <row r="97" spans="1:6">
      <c r="A97" s="60">
        <v>9200</v>
      </c>
      <c r="B97" s="60">
        <f t="shared" si="6"/>
        <v>1081738</v>
      </c>
      <c r="C97" s="60">
        <f t="shared" si="9"/>
        <v>1081738</v>
      </c>
      <c r="D97" s="61">
        <f t="shared" si="5"/>
        <v>1.1277894736842105</v>
      </c>
      <c r="E97" s="64">
        <f t="shared" si="7"/>
        <v>95.916630466254389</v>
      </c>
      <c r="F97" s="62" t="str">
        <f t="shared" si="8"/>
        <v/>
      </c>
    </row>
    <row r="98" spans="1:6">
      <c r="A98" s="60">
        <v>9300</v>
      </c>
      <c r="B98" s="60">
        <f t="shared" si="6"/>
        <v>1084251</v>
      </c>
      <c r="C98" s="60">
        <f t="shared" si="9"/>
        <v>1084251</v>
      </c>
      <c r="D98" s="61">
        <f t="shared" si="5"/>
        <v>1.1243157894736842</v>
      </c>
      <c r="E98" s="64">
        <f t="shared" si="7"/>
        <v>96.436507609929549</v>
      </c>
      <c r="F98" s="62" t="str">
        <f t="shared" si="8"/>
        <v/>
      </c>
    </row>
    <row r="99" spans="1:6">
      <c r="A99" s="60">
        <v>9400</v>
      </c>
      <c r="B99" s="60">
        <f t="shared" si="6"/>
        <v>1086697</v>
      </c>
      <c r="C99" s="60">
        <f t="shared" si="9"/>
        <v>1086697</v>
      </c>
      <c r="D99" s="61">
        <f t="shared" si="5"/>
        <v>1.1208421052631579</v>
      </c>
      <c r="E99" s="64">
        <f t="shared" si="7"/>
        <v>96.95359714832658</v>
      </c>
      <c r="F99" s="62" t="str">
        <f t="shared" si="8"/>
        <v/>
      </c>
    </row>
    <row r="100" spans="1:6">
      <c r="A100" s="60">
        <v>9500</v>
      </c>
      <c r="B100" s="60">
        <f t="shared" si="6"/>
        <v>1089076</v>
      </c>
      <c r="C100" s="60">
        <f t="shared" si="9"/>
        <v>1089076</v>
      </c>
      <c r="D100" s="61">
        <f t="shared" si="5"/>
        <v>1.1173684210526316</v>
      </c>
      <c r="E100" s="64">
        <f t="shared" si="7"/>
        <v>97.467943448089642</v>
      </c>
      <c r="F100" s="62" t="str">
        <f t="shared" si="8"/>
        <v/>
      </c>
    </row>
    <row r="101" spans="1:6">
      <c r="A101" s="60">
        <v>9600</v>
      </c>
      <c r="B101" s="60">
        <f t="shared" si="6"/>
        <v>1091389</v>
      </c>
      <c r="C101" s="60">
        <f t="shared" si="9"/>
        <v>1091389</v>
      </c>
      <c r="D101" s="61">
        <f t="shared" si="5"/>
        <v>1.1138947368421053</v>
      </c>
      <c r="E101" s="64">
        <f t="shared" si="7"/>
        <v>97.979589711327122</v>
      </c>
      <c r="F101" s="62" t="str">
        <f t="shared" si="8"/>
        <v/>
      </c>
    </row>
    <row r="102" spans="1:6">
      <c r="A102" s="60">
        <v>9700</v>
      </c>
      <c r="B102" s="60">
        <f t="shared" si="6"/>
        <v>1093638</v>
      </c>
      <c r="C102" s="60">
        <f t="shared" si="9"/>
        <v>1093638</v>
      </c>
      <c r="D102" s="61">
        <f t="shared" si="5"/>
        <v>1.110421052631579</v>
      </c>
      <c r="E102" s="64">
        <f t="shared" si="7"/>
        <v>98.488578017961046</v>
      </c>
      <c r="F102" s="62" t="str">
        <f t="shared" si="8"/>
        <v/>
      </c>
    </row>
    <row r="103" spans="1:6">
      <c r="A103" s="60">
        <v>9800</v>
      </c>
      <c r="B103" s="60">
        <f t="shared" si="6"/>
        <v>1095822</v>
      </c>
      <c r="C103" s="60">
        <f t="shared" si="9"/>
        <v>1095822</v>
      </c>
      <c r="D103" s="61">
        <f t="shared" si="5"/>
        <v>1.1069473684210527</v>
      </c>
      <c r="E103" s="64">
        <f t="shared" si="7"/>
        <v>98.994949366116657</v>
      </c>
      <c r="F103" s="62" t="str">
        <f t="shared" si="8"/>
        <v/>
      </c>
    </row>
    <row r="104" spans="1:6">
      <c r="A104" s="60">
        <v>9900</v>
      </c>
      <c r="B104" s="60">
        <f t="shared" si="6"/>
        <v>1097942</v>
      </c>
      <c r="C104" s="60">
        <f t="shared" si="9"/>
        <v>1097942</v>
      </c>
      <c r="D104" s="61">
        <f t="shared" si="5"/>
        <v>1.1034736842105264</v>
      </c>
      <c r="E104" s="64">
        <f t="shared" si="7"/>
        <v>99.498743710661998</v>
      </c>
      <c r="F104" s="62" t="str">
        <f t="shared" si="8"/>
        <v/>
      </c>
    </row>
    <row r="105" spans="1:6">
      <c r="A105" s="60">
        <v>10000</v>
      </c>
      <c r="B105" s="60">
        <f t="shared" si="6"/>
        <v>1100000</v>
      </c>
      <c r="C105" s="60">
        <f t="shared" si="9"/>
        <v>1100000</v>
      </c>
      <c r="D105" s="61">
        <f t="shared" si="5"/>
        <v>1.1000000000000001</v>
      </c>
      <c r="E105" s="64">
        <f t="shared" si="7"/>
        <v>100</v>
      </c>
      <c r="F105" s="62" t="str">
        <f t="shared" si="8"/>
        <v/>
      </c>
    </row>
    <row r="106" spans="1:6">
      <c r="A106" s="60">
        <v>10100</v>
      </c>
      <c r="B106" s="60">
        <v>1100000</v>
      </c>
      <c r="C106" s="60">
        <v>1100000</v>
      </c>
      <c r="D106" s="61">
        <f t="shared" si="5"/>
        <v>1.0987</v>
      </c>
      <c r="E106" s="64">
        <f t="shared" si="7"/>
        <v>100.4987562112089</v>
      </c>
      <c r="F106" s="62" t="str">
        <f t="shared" si="8"/>
        <v/>
      </c>
    </row>
    <row r="107" spans="1:6">
      <c r="A107" s="60">
        <v>10200</v>
      </c>
      <c r="B107" s="60">
        <v>1100000</v>
      </c>
      <c r="C107" s="60">
        <v>1100000</v>
      </c>
      <c r="D107" s="61">
        <f t="shared" si="5"/>
        <v>1.0974000000000002</v>
      </c>
      <c r="E107" s="64">
        <f t="shared" si="7"/>
        <v>100.99504938362078</v>
      </c>
      <c r="F107" s="62" t="str">
        <f t="shared" si="8"/>
        <v/>
      </c>
    </row>
    <row r="108" spans="1:6">
      <c r="A108" s="60">
        <v>10300</v>
      </c>
      <c r="B108" s="60">
        <v>1100000</v>
      </c>
      <c r="C108" s="60">
        <v>1100000</v>
      </c>
      <c r="D108" s="61">
        <f t="shared" si="5"/>
        <v>1.0961000000000001</v>
      </c>
      <c r="E108" s="64">
        <f t="shared" si="7"/>
        <v>101.48891565092219</v>
      </c>
      <c r="F108" s="62" t="str">
        <f t="shared" si="8"/>
        <v/>
      </c>
    </row>
    <row r="109" spans="1:6">
      <c r="A109" s="60">
        <v>10400</v>
      </c>
      <c r="B109" s="60">
        <v>1100000</v>
      </c>
      <c r="C109" s="60">
        <v>1100000</v>
      </c>
      <c r="D109" s="61">
        <f t="shared" si="5"/>
        <v>1.0948</v>
      </c>
      <c r="E109" s="64">
        <f t="shared" si="7"/>
        <v>101.9803902718557</v>
      </c>
      <c r="F109" s="62" t="str">
        <f t="shared" si="8"/>
        <v/>
      </c>
    </row>
    <row r="110" spans="1:6">
      <c r="A110" s="60">
        <v>10500</v>
      </c>
      <c r="B110" s="60">
        <v>1100000</v>
      </c>
      <c r="C110" s="60">
        <v>1100000</v>
      </c>
      <c r="D110" s="61">
        <f t="shared" si="5"/>
        <v>1.0935000000000001</v>
      </c>
      <c r="E110" s="64">
        <f t="shared" si="7"/>
        <v>102.46950765959599</v>
      </c>
      <c r="F110" s="62" t="str">
        <f t="shared" si="8"/>
        <v/>
      </c>
    </row>
    <row r="111" spans="1:6">
      <c r="A111" s="60">
        <v>10600</v>
      </c>
      <c r="B111" s="60">
        <v>1100000</v>
      </c>
      <c r="C111" s="60">
        <v>1100000</v>
      </c>
      <c r="D111" s="61">
        <f t="shared" si="5"/>
        <v>1.0922000000000001</v>
      </c>
      <c r="E111" s="64">
        <f t="shared" si="7"/>
        <v>102.95630140987001</v>
      </c>
      <c r="F111" s="62" t="str">
        <f t="shared" si="8"/>
        <v/>
      </c>
    </row>
    <row r="112" spans="1:6">
      <c r="A112" s="60">
        <v>10700</v>
      </c>
      <c r="B112" s="60">
        <v>1100000</v>
      </c>
      <c r="C112" s="60">
        <v>1100000</v>
      </c>
      <c r="D112" s="61">
        <f t="shared" si="5"/>
        <v>1.0909</v>
      </c>
      <c r="E112" s="64">
        <f t="shared" si="7"/>
        <v>103.440804327886</v>
      </c>
      <c r="F112" s="62" t="str">
        <f t="shared" si="8"/>
        <v/>
      </c>
    </row>
    <row r="113" spans="1:6">
      <c r="A113" s="60">
        <v>10800</v>
      </c>
      <c r="B113" s="60">
        <v>1100000</v>
      </c>
      <c r="C113" s="60">
        <v>1100000</v>
      </c>
      <c r="D113" s="61">
        <f t="shared" si="5"/>
        <v>1.0895999999999999</v>
      </c>
      <c r="E113" s="64">
        <f t="shared" si="7"/>
        <v>103.92304845413264</v>
      </c>
      <c r="F113" s="62" t="str">
        <f t="shared" si="8"/>
        <v/>
      </c>
    </row>
    <row r="114" spans="1:6">
      <c r="A114" s="60">
        <v>10900</v>
      </c>
      <c r="B114" s="60">
        <v>1100000</v>
      </c>
      <c r="C114" s="60">
        <v>1100000</v>
      </c>
      <c r="D114" s="61">
        <f t="shared" si="5"/>
        <v>1.0883</v>
      </c>
      <c r="E114" s="64">
        <f t="shared" si="7"/>
        <v>104.4030650891055</v>
      </c>
      <c r="F114" s="62" t="str">
        <f t="shared" si="8"/>
        <v/>
      </c>
    </row>
    <row r="115" spans="1:6">
      <c r="A115" s="60">
        <v>11000</v>
      </c>
      <c r="B115" s="60">
        <v>1100000</v>
      </c>
      <c r="C115" s="60">
        <v>1100000</v>
      </c>
      <c r="D115" s="61">
        <f t="shared" si="5"/>
        <v>1.087</v>
      </c>
      <c r="E115" s="64">
        <f t="shared" si="7"/>
        <v>104.88088481701516</v>
      </c>
      <c r="F115" s="62" t="str">
        <f t="shared" si="8"/>
        <v/>
      </c>
    </row>
    <row r="116" spans="1:6">
      <c r="A116" s="60">
        <v>11100</v>
      </c>
      <c r="B116" s="60">
        <f t="shared" si="6"/>
        <v>1144207</v>
      </c>
      <c r="C116" s="60">
        <f t="shared" si="9"/>
        <v>1144207</v>
      </c>
      <c r="D116" s="61">
        <f t="shared" si="5"/>
        <v>1.0860333333333334</v>
      </c>
      <c r="E116" s="64">
        <f t="shared" si="7"/>
        <v>105.35653752852738</v>
      </c>
      <c r="F116" s="62" t="str">
        <f t="shared" si="8"/>
        <v/>
      </c>
    </row>
    <row r="117" spans="1:6">
      <c r="A117" s="60">
        <v>11200</v>
      </c>
      <c r="B117" s="60">
        <f t="shared" si="6"/>
        <v>1148327</v>
      </c>
      <c r="C117" s="60">
        <f t="shared" si="9"/>
        <v>1148327</v>
      </c>
      <c r="D117" s="61">
        <f t="shared" si="5"/>
        <v>1.0850666666666666</v>
      </c>
      <c r="E117" s="64">
        <f t="shared" si="7"/>
        <v>105.83005244258362</v>
      </c>
      <c r="F117" s="62" t="str">
        <f t="shared" si="8"/>
        <v/>
      </c>
    </row>
    <row r="118" spans="1:6">
      <c r="A118" s="60">
        <v>11300</v>
      </c>
      <c r="B118" s="60">
        <f t="shared" si="6"/>
        <v>1152414</v>
      </c>
      <c r="C118" s="60">
        <f t="shared" si="9"/>
        <v>1152414</v>
      </c>
      <c r="D118" s="61">
        <f t="shared" si="5"/>
        <v>1.0841000000000001</v>
      </c>
      <c r="E118" s="64">
        <f t="shared" si="7"/>
        <v>106.30145812734649</v>
      </c>
      <c r="F118" s="62" t="str">
        <f t="shared" si="8"/>
        <v/>
      </c>
    </row>
    <row r="119" spans="1:6">
      <c r="A119" s="60">
        <v>11400</v>
      </c>
      <c r="B119" s="60">
        <f t="shared" si="6"/>
        <v>1156470</v>
      </c>
      <c r="C119" s="60">
        <f t="shared" si="9"/>
        <v>1156470</v>
      </c>
      <c r="D119" s="61">
        <f t="shared" si="5"/>
        <v>1.0831333333333333</v>
      </c>
      <c r="E119" s="64">
        <f t="shared" si="7"/>
        <v>106.77078252031311</v>
      </c>
      <c r="F119" s="62" t="str">
        <f t="shared" si="8"/>
        <v/>
      </c>
    </row>
    <row r="120" spans="1:6">
      <c r="A120" s="60">
        <v>11500</v>
      </c>
      <c r="B120" s="60">
        <f t="shared" si="6"/>
        <v>1160494</v>
      </c>
      <c r="C120" s="60">
        <f t="shared" si="9"/>
        <v>1160494</v>
      </c>
      <c r="D120" s="61">
        <f t="shared" si="5"/>
        <v>1.0821666666666667</v>
      </c>
      <c r="E120" s="64">
        <f t="shared" si="7"/>
        <v>107.23805294763608</v>
      </c>
      <c r="F120" s="62" t="str">
        <f t="shared" si="8"/>
        <v/>
      </c>
    </row>
    <row r="121" spans="1:6">
      <c r="A121" s="60">
        <v>11600</v>
      </c>
      <c r="B121" s="60">
        <f t="shared" si="6"/>
        <v>1164488</v>
      </c>
      <c r="C121" s="60">
        <f t="shared" si="9"/>
        <v>1164488</v>
      </c>
      <c r="D121" s="61">
        <f t="shared" si="5"/>
        <v>1.0811999999999999</v>
      </c>
      <c r="E121" s="64">
        <f t="shared" si="7"/>
        <v>107.70329614269008</v>
      </c>
      <c r="F121" s="62" t="str">
        <f t="shared" si="8"/>
        <v/>
      </c>
    </row>
    <row r="122" spans="1:6">
      <c r="A122" s="60">
        <v>11700</v>
      </c>
      <c r="B122" s="60">
        <f t="shared" si="6"/>
        <v>1168451</v>
      </c>
      <c r="C122" s="60">
        <f t="shared" si="9"/>
        <v>1168451</v>
      </c>
      <c r="D122" s="61">
        <f t="shared" si="5"/>
        <v>1.0802333333333334</v>
      </c>
      <c r="E122" s="64">
        <f t="shared" si="7"/>
        <v>108.16653826391968</v>
      </c>
      <c r="F122" s="62" t="str">
        <f t="shared" si="8"/>
        <v/>
      </c>
    </row>
    <row r="123" spans="1:6">
      <c r="A123" s="60">
        <v>11800</v>
      </c>
      <c r="B123" s="60">
        <f t="shared" si="6"/>
        <v>1172384</v>
      </c>
      <c r="C123" s="60">
        <f t="shared" si="9"/>
        <v>1172384</v>
      </c>
      <c r="D123" s="61">
        <f t="shared" si="5"/>
        <v>1.0792666666666666</v>
      </c>
      <c r="E123" s="64">
        <f t="shared" si="7"/>
        <v>108.62780491200216</v>
      </c>
      <c r="F123" s="62" t="str">
        <f t="shared" si="8"/>
        <v/>
      </c>
    </row>
    <row r="124" spans="1:6">
      <c r="A124" s="60">
        <v>11900</v>
      </c>
      <c r="B124" s="60">
        <f t="shared" si="6"/>
        <v>1176286</v>
      </c>
      <c r="C124" s="60">
        <f t="shared" si="9"/>
        <v>1176286</v>
      </c>
      <c r="D124" s="61">
        <f t="shared" si="5"/>
        <v>1.0783</v>
      </c>
      <c r="E124" s="64">
        <f t="shared" si="7"/>
        <v>109.08712114635715</v>
      </c>
      <c r="F124" s="62" t="str">
        <f t="shared" si="8"/>
        <v/>
      </c>
    </row>
    <row r="125" spans="1:6">
      <c r="A125" s="60">
        <v>12000</v>
      </c>
      <c r="B125" s="60">
        <f t="shared" si="6"/>
        <v>1180160</v>
      </c>
      <c r="C125" s="60">
        <f t="shared" si="9"/>
        <v>1180160</v>
      </c>
      <c r="D125" s="61">
        <f t="shared" si="5"/>
        <v>1.0773333333333333</v>
      </c>
      <c r="E125" s="64">
        <f t="shared" si="7"/>
        <v>109.54451150103323</v>
      </c>
      <c r="F125" s="62" t="str">
        <f t="shared" si="8"/>
        <v/>
      </c>
    </row>
    <row r="126" spans="1:6">
      <c r="A126" s="60">
        <v>12100</v>
      </c>
      <c r="B126" s="60">
        <f t="shared" si="6"/>
        <v>1184003</v>
      </c>
      <c r="C126" s="60">
        <f t="shared" si="9"/>
        <v>1184003</v>
      </c>
      <c r="D126" s="61">
        <f t="shared" si="5"/>
        <v>1.0763666666666667</v>
      </c>
      <c r="E126" s="64">
        <f t="shared" si="7"/>
        <v>110</v>
      </c>
      <c r="F126" s="62" t="str">
        <f t="shared" si="8"/>
        <v/>
      </c>
    </row>
    <row r="127" spans="1:6">
      <c r="A127" s="60">
        <v>12200</v>
      </c>
      <c r="B127" s="60">
        <f t="shared" si="6"/>
        <v>1187818</v>
      </c>
      <c r="C127" s="60">
        <f t="shared" si="9"/>
        <v>1187818</v>
      </c>
      <c r="D127" s="61">
        <f t="shared" si="5"/>
        <v>1.0753999999999999</v>
      </c>
      <c r="E127" s="64">
        <f t="shared" si="7"/>
        <v>110.45361017187261</v>
      </c>
      <c r="F127" s="62" t="str">
        <f t="shared" si="8"/>
        <v/>
      </c>
    </row>
    <row r="128" spans="1:6">
      <c r="A128" s="60">
        <v>12300</v>
      </c>
      <c r="B128" s="60">
        <f t="shared" si="6"/>
        <v>1191604</v>
      </c>
      <c r="C128" s="60">
        <f t="shared" si="9"/>
        <v>1191604</v>
      </c>
      <c r="D128" s="61">
        <f t="shared" si="5"/>
        <v>1.0744333333333334</v>
      </c>
      <c r="E128" s="64">
        <f t="shared" si="7"/>
        <v>110.90536506409417</v>
      </c>
      <c r="F128" s="62" t="str">
        <f t="shared" si="8"/>
        <v/>
      </c>
    </row>
    <row r="129" spans="1:6">
      <c r="A129" s="60">
        <v>12400</v>
      </c>
      <c r="B129" s="60">
        <f t="shared" si="6"/>
        <v>1195362</v>
      </c>
      <c r="C129" s="60">
        <f t="shared" si="9"/>
        <v>1195362</v>
      </c>
      <c r="D129" s="61">
        <f t="shared" si="5"/>
        <v>1.0734666666666666</v>
      </c>
      <c r="E129" s="64">
        <f t="shared" si="7"/>
        <v>111.35528725660043</v>
      </c>
      <c r="F129" s="62" t="str">
        <f t="shared" si="8"/>
        <v/>
      </c>
    </row>
    <row r="130" spans="1:6">
      <c r="A130" s="60">
        <v>12500</v>
      </c>
      <c r="B130" s="60">
        <f t="shared" si="6"/>
        <v>1199091</v>
      </c>
      <c r="C130" s="60">
        <f t="shared" si="9"/>
        <v>1199091</v>
      </c>
      <c r="D130" s="61">
        <f t="shared" si="5"/>
        <v>1.0725</v>
      </c>
      <c r="E130" s="64">
        <f t="shared" si="7"/>
        <v>111.80339887498948</v>
      </c>
      <c r="F130" s="62" t="str">
        <f t="shared" si="8"/>
        <v/>
      </c>
    </row>
    <row r="131" spans="1:6">
      <c r="A131" s="60">
        <v>12600</v>
      </c>
      <c r="B131" s="60">
        <f t="shared" si="6"/>
        <v>1202793</v>
      </c>
      <c r="C131" s="60">
        <f t="shared" si="9"/>
        <v>1202793</v>
      </c>
      <c r="D131" s="61">
        <f t="shared" si="5"/>
        <v>1.0715333333333332</v>
      </c>
      <c r="E131" s="64">
        <f t="shared" si="7"/>
        <v>112.24972160321825</v>
      </c>
      <c r="F131" s="62" t="str">
        <f t="shared" si="8"/>
        <v/>
      </c>
    </row>
    <row r="132" spans="1:6">
      <c r="A132" s="60">
        <v>12700</v>
      </c>
      <c r="B132" s="60">
        <f t="shared" si="6"/>
        <v>1206467</v>
      </c>
      <c r="C132" s="60">
        <f t="shared" si="9"/>
        <v>1206467</v>
      </c>
      <c r="D132" s="61">
        <f t="shared" si="5"/>
        <v>1.0705666666666667</v>
      </c>
      <c r="E132" s="64">
        <f t="shared" si="7"/>
        <v>112.69427669584645</v>
      </c>
      <c r="F132" s="62" t="str">
        <f t="shared" si="8"/>
        <v/>
      </c>
    </row>
    <row r="133" spans="1:6">
      <c r="A133" s="60">
        <v>12800</v>
      </c>
      <c r="B133" s="60">
        <f t="shared" si="6"/>
        <v>1210114</v>
      </c>
      <c r="C133" s="60">
        <f t="shared" si="9"/>
        <v>1210114</v>
      </c>
      <c r="D133" s="61">
        <f t="shared" ref="D133:D196" si="10">(A133-INDEX(兵力区间,MATCH(A133,兵力区间,1)))/(INDEX(兵力区间,MATCH(A133,兵力区间,1)+1)-INDEX(兵力区间,MATCH(A133,兵力区间,1)))*((INDEX(兵力调节,MATCH(A133,兵力区间,1)+1,2)-INDEX(兵力调节,MATCH(A133,兵力区间,1),2)))+INDEX(兵力调节,MATCH(A133,兵力区间,1),2)</f>
        <v>1.0695999999999999</v>
      </c>
      <c r="E133" s="64">
        <f t="shared" si="7"/>
        <v>113.13708498984761</v>
      </c>
      <c r="F133" s="62" t="str">
        <f t="shared" si="8"/>
        <v/>
      </c>
    </row>
    <row r="134" spans="1:6">
      <c r="A134" s="60">
        <v>12900</v>
      </c>
      <c r="B134" s="60">
        <f t="shared" si="6"/>
        <v>1213734</v>
      </c>
      <c r="C134" s="60">
        <f t="shared" si="9"/>
        <v>1213734</v>
      </c>
      <c r="D134" s="61">
        <f t="shared" si="10"/>
        <v>1.0686333333333333</v>
      </c>
      <c r="E134" s="64">
        <f t="shared" si="7"/>
        <v>113.57816691600547</v>
      </c>
      <c r="F134" s="62" t="str">
        <f t="shared" si="8"/>
        <v/>
      </c>
    </row>
    <row r="135" spans="1:6">
      <c r="A135" s="60">
        <v>13000</v>
      </c>
      <c r="B135" s="60">
        <f t="shared" ref="B135:B198" si="11">ROUND(D135*E135*10000,0)</f>
        <v>1217327</v>
      </c>
      <c r="C135" s="60">
        <f t="shared" si="9"/>
        <v>1217327</v>
      </c>
      <c r="D135" s="61">
        <f t="shared" si="10"/>
        <v>1.0676666666666665</v>
      </c>
      <c r="E135" s="64">
        <f t="shared" ref="E135:E198" si="12">A135^0.5</f>
        <v>114.0175425099138</v>
      </c>
      <c r="F135" s="62" t="str">
        <f t="shared" si="8"/>
        <v/>
      </c>
    </row>
    <row r="136" spans="1:6">
      <c r="A136" s="60">
        <v>13100</v>
      </c>
      <c r="B136" s="60">
        <f t="shared" si="11"/>
        <v>1220894</v>
      </c>
      <c r="C136" s="60">
        <f t="shared" si="9"/>
        <v>1220894</v>
      </c>
      <c r="D136" s="61">
        <f t="shared" si="10"/>
        <v>1.0667</v>
      </c>
      <c r="E136" s="64">
        <f t="shared" si="12"/>
        <v>114.45523142259597</v>
      </c>
      <c r="F136" s="62" t="str">
        <f t="shared" ref="F136:F199" si="13">IF(B136&lt;B135,1,"")</f>
        <v/>
      </c>
    </row>
    <row r="137" spans="1:6">
      <c r="A137" s="60">
        <v>13200</v>
      </c>
      <c r="B137" s="60">
        <f t="shared" si="11"/>
        <v>1224434</v>
      </c>
      <c r="C137" s="60">
        <f t="shared" si="9"/>
        <v>1224434</v>
      </c>
      <c r="D137" s="61">
        <f t="shared" si="10"/>
        <v>1.0657333333333332</v>
      </c>
      <c r="E137" s="64">
        <f t="shared" si="12"/>
        <v>114.89125293076057</v>
      </c>
      <c r="F137" s="62" t="str">
        <f t="shared" si="13"/>
        <v/>
      </c>
    </row>
    <row r="138" spans="1:6">
      <c r="A138" s="60">
        <v>13300</v>
      </c>
      <c r="B138" s="60">
        <f t="shared" si="11"/>
        <v>1227949</v>
      </c>
      <c r="C138" s="60">
        <f t="shared" si="9"/>
        <v>1227949</v>
      </c>
      <c r="D138" s="61">
        <f t="shared" si="10"/>
        <v>1.0647666666666666</v>
      </c>
      <c r="E138" s="64">
        <f t="shared" si="12"/>
        <v>115.32562594670796</v>
      </c>
      <c r="F138" s="62" t="str">
        <f t="shared" si="13"/>
        <v/>
      </c>
    </row>
    <row r="139" spans="1:6">
      <c r="A139" s="60">
        <v>13400</v>
      </c>
      <c r="B139" s="60">
        <f t="shared" si="11"/>
        <v>1231438</v>
      </c>
      <c r="C139" s="60">
        <f t="shared" ref="C139:C202" si="14">ROUND(D139*E139*10000,0)</f>
        <v>1231438</v>
      </c>
      <c r="D139" s="61">
        <f t="shared" si="10"/>
        <v>1.0638000000000001</v>
      </c>
      <c r="E139" s="64">
        <f t="shared" si="12"/>
        <v>115.75836902790225</v>
      </c>
      <c r="F139" s="62" t="str">
        <f t="shared" si="13"/>
        <v/>
      </c>
    </row>
    <row r="140" spans="1:6">
      <c r="A140" s="60">
        <v>13500</v>
      </c>
      <c r="B140" s="60">
        <f t="shared" si="11"/>
        <v>1234901</v>
      </c>
      <c r="C140" s="60">
        <f t="shared" si="14"/>
        <v>1234901</v>
      </c>
      <c r="D140" s="61">
        <f t="shared" si="10"/>
        <v>1.0628333333333333</v>
      </c>
      <c r="E140" s="64">
        <f t="shared" si="12"/>
        <v>116.18950038622251</v>
      </c>
      <c r="F140" s="62" t="str">
        <f t="shared" si="13"/>
        <v/>
      </c>
    </row>
    <row r="141" spans="1:6">
      <c r="A141" s="60">
        <v>13600</v>
      </c>
      <c r="B141" s="60">
        <f t="shared" si="11"/>
        <v>1238339</v>
      </c>
      <c r="C141" s="60">
        <f t="shared" si="14"/>
        <v>1238339</v>
      </c>
      <c r="D141" s="61">
        <f t="shared" si="10"/>
        <v>1.0618666666666667</v>
      </c>
      <c r="E141" s="64">
        <f t="shared" si="12"/>
        <v>116.61903789690601</v>
      </c>
      <c r="F141" s="62" t="str">
        <f t="shared" si="13"/>
        <v/>
      </c>
    </row>
    <row r="142" spans="1:6">
      <c r="A142" s="60">
        <v>13700</v>
      </c>
      <c r="B142" s="60">
        <f t="shared" si="11"/>
        <v>1241752</v>
      </c>
      <c r="C142" s="60">
        <f t="shared" si="14"/>
        <v>1241752</v>
      </c>
      <c r="D142" s="61">
        <f t="shared" si="10"/>
        <v>1.0609</v>
      </c>
      <c r="E142" s="64">
        <f t="shared" si="12"/>
        <v>117.04699910719626</v>
      </c>
      <c r="F142" s="62" t="str">
        <f t="shared" si="13"/>
        <v/>
      </c>
    </row>
    <row r="143" spans="1:6">
      <c r="A143" s="60">
        <v>13800</v>
      </c>
      <c r="B143" s="60">
        <f t="shared" si="11"/>
        <v>1245140</v>
      </c>
      <c r="C143" s="60">
        <f t="shared" si="14"/>
        <v>1245140</v>
      </c>
      <c r="D143" s="61">
        <f t="shared" si="10"/>
        <v>1.0599333333333334</v>
      </c>
      <c r="E143" s="64">
        <f t="shared" si="12"/>
        <v>117.4734012447073</v>
      </c>
      <c r="F143" s="62" t="str">
        <f t="shared" si="13"/>
        <v/>
      </c>
    </row>
    <row r="144" spans="1:6">
      <c r="A144" s="60">
        <v>13900</v>
      </c>
      <c r="B144" s="60">
        <f t="shared" si="11"/>
        <v>1248503</v>
      </c>
      <c r="C144" s="60">
        <f t="shared" si="14"/>
        <v>1248503</v>
      </c>
      <c r="D144" s="61">
        <f t="shared" si="10"/>
        <v>1.0589666666666666</v>
      </c>
      <c r="E144" s="64">
        <f t="shared" si="12"/>
        <v>117.89826122551597</v>
      </c>
      <c r="F144" s="62" t="str">
        <f t="shared" si="13"/>
        <v/>
      </c>
    </row>
    <row r="145" spans="1:6">
      <c r="A145" s="60">
        <v>14000</v>
      </c>
      <c r="B145" s="60">
        <f t="shared" si="11"/>
        <v>1251842</v>
      </c>
      <c r="C145" s="60">
        <f t="shared" si="14"/>
        <v>1251842</v>
      </c>
      <c r="D145" s="61">
        <f t="shared" si="10"/>
        <v>1.0580000000000001</v>
      </c>
      <c r="E145" s="64">
        <f t="shared" si="12"/>
        <v>118.32159566199232</v>
      </c>
      <c r="F145" s="62" t="str">
        <f t="shared" si="13"/>
        <v/>
      </c>
    </row>
    <row r="146" spans="1:6">
      <c r="A146" s="60">
        <v>14100</v>
      </c>
      <c r="B146" s="60">
        <f t="shared" si="11"/>
        <v>1255158</v>
      </c>
      <c r="C146" s="60">
        <f t="shared" si="14"/>
        <v>1255158</v>
      </c>
      <c r="D146" s="61">
        <f t="shared" si="10"/>
        <v>1.0570333333333333</v>
      </c>
      <c r="E146" s="64">
        <f t="shared" si="12"/>
        <v>118.74342087037917</v>
      </c>
      <c r="F146" s="62" t="str">
        <f t="shared" si="13"/>
        <v/>
      </c>
    </row>
    <row r="147" spans="1:6">
      <c r="A147" s="60">
        <v>14200</v>
      </c>
      <c r="B147" s="60">
        <f t="shared" si="11"/>
        <v>1258449</v>
      </c>
      <c r="C147" s="60">
        <f t="shared" si="14"/>
        <v>1258449</v>
      </c>
      <c r="D147" s="61">
        <f t="shared" si="10"/>
        <v>1.0560666666666667</v>
      </c>
      <c r="E147" s="64">
        <f t="shared" si="12"/>
        <v>119.16375287812986</v>
      </c>
      <c r="F147" s="62" t="str">
        <f t="shared" si="13"/>
        <v/>
      </c>
    </row>
    <row r="148" spans="1:6">
      <c r="A148" s="60">
        <v>14300</v>
      </c>
      <c r="B148" s="60">
        <f t="shared" si="11"/>
        <v>1261716</v>
      </c>
      <c r="C148" s="60">
        <f t="shared" si="14"/>
        <v>1261716</v>
      </c>
      <c r="D148" s="61">
        <f t="shared" si="10"/>
        <v>1.0550999999999999</v>
      </c>
      <c r="E148" s="64">
        <f t="shared" si="12"/>
        <v>119.58260743101398</v>
      </c>
      <c r="F148" s="62" t="str">
        <f t="shared" si="13"/>
        <v/>
      </c>
    </row>
    <row r="149" spans="1:6">
      <c r="A149" s="60">
        <v>14400</v>
      </c>
      <c r="B149" s="60">
        <f t="shared" si="11"/>
        <v>1264960</v>
      </c>
      <c r="C149" s="60">
        <f t="shared" si="14"/>
        <v>1264960</v>
      </c>
      <c r="D149" s="61">
        <f t="shared" si="10"/>
        <v>1.0541333333333334</v>
      </c>
      <c r="E149" s="64">
        <f t="shared" si="12"/>
        <v>120</v>
      </c>
      <c r="F149" s="62" t="str">
        <f t="shared" si="13"/>
        <v/>
      </c>
    </row>
    <row r="150" spans="1:6">
      <c r="A150" s="60">
        <v>14500</v>
      </c>
      <c r="B150" s="60">
        <f t="shared" si="11"/>
        <v>1268181</v>
      </c>
      <c r="C150" s="60">
        <f t="shared" si="14"/>
        <v>1268181</v>
      </c>
      <c r="D150" s="61">
        <f t="shared" si="10"/>
        <v>1.0531666666666666</v>
      </c>
      <c r="E150" s="64">
        <f t="shared" si="12"/>
        <v>120.41594578792295</v>
      </c>
      <c r="F150" s="62" t="str">
        <f t="shared" si="13"/>
        <v/>
      </c>
    </row>
    <row r="151" spans="1:6">
      <c r="A151" s="60">
        <v>14600</v>
      </c>
      <c r="B151" s="60">
        <f t="shared" si="11"/>
        <v>1271378</v>
      </c>
      <c r="C151" s="60">
        <f t="shared" si="14"/>
        <v>1271378</v>
      </c>
      <c r="D151" s="61">
        <f t="shared" si="10"/>
        <v>1.0522</v>
      </c>
      <c r="E151" s="64">
        <f t="shared" si="12"/>
        <v>120.83045973594572</v>
      </c>
      <c r="F151" s="62" t="str">
        <f t="shared" si="13"/>
        <v/>
      </c>
    </row>
    <row r="152" spans="1:6">
      <c r="A152" s="60">
        <v>14700</v>
      </c>
      <c r="B152" s="60">
        <f t="shared" si="11"/>
        <v>1274553</v>
      </c>
      <c r="C152" s="60">
        <f t="shared" si="14"/>
        <v>1274553</v>
      </c>
      <c r="D152" s="61">
        <f t="shared" si="10"/>
        <v>1.0512333333333332</v>
      </c>
      <c r="E152" s="64">
        <f t="shared" si="12"/>
        <v>121.2435565298214</v>
      </c>
      <c r="F152" s="62" t="str">
        <f t="shared" si="13"/>
        <v/>
      </c>
    </row>
    <row r="153" spans="1:6">
      <c r="A153" s="60">
        <v>14800</v>
      </c>
      <c r="B153" s="60">
        <f t="shared" si="11"/>
        <v>1277705</v>
      </c>
      <c r="C153" s="60">
        <f t="shared" si="14"/>
        <v>1277705</v>
      </c>
      <c r="D153" s="61">
        <f t="shared" si="10"/>
        <v>1.0502666666666667</v>
      </c>
      <c r="E153" s="64">
        <f t="shared" si="12"/>
        <v>121.6552506059644</v>
      </c>
      <c r="F153" s="62" t="str">
        <f t="shared" si="13"/>
        <v/>
      </c>
    </row>
    <row r="154" spans="1:6">
      <c r="A154" s="60">
        <v>14900</v>
      </c>
      <c r="B154" s="60">
        <f t="shared" si="11"/>
        <v>1280834</v>
      </c>
      <c r="C154" s="60">
        <f t="shared" si="14"/>
        <v>1280834</v>
      </c>
      <c r="D154" s="61">
        <f t="shared" si="10"/>
        <v>1.0492999999999999</v>
      </c>
      <c r="E154" s="64">
        <f t="shared" si="12"/>
        <v>122.06555615733703</v>
      </c>
      <c r="F154" s="62" t="str">
        <f t="shared" si="13"/>
        <v/>
      </c>
    </row>
    <row r="155" spans="1:6">
      <c r="A155" s="60">
        <v>15000</v>
      </c>
      <c r="B155" s="60">
        <f t="shared" si="11"/>
        <v>1283941</v>
      </c>
      <c r="C155" s="60">
        <f t="shared" si="14"/>
        <v>1283941</v>
      </c>
      <c r="D155" s="61">
        <f t="shared" si="10"/>
        <v>1.0483333333333333</v>
      </c>
      <c r="E155" s="64">
        <f t="shared" si="12"/>
        <v>122.47448713915891</v>
      </c>
      <c r="F155" s="62" t="str">
        <f t="shared" si="13"/>
        <v/>
      </c>
    </row>
    <row r="156" spans="1:6">
      <c r="A156" s="60">
        <v>15100</v>
      </c>
      <c r="B156" s="60">
        <f t="shared" si="11"/>
        <v>1287026</v>
      </c>
      <c r="C156" s="60">
        <f t="shared" si="14"/>
        <v>1287026</v>
      </c>
      <c r="D156" s="61">
        <f t="shared" si="10"/>
        <v>1.0473666666666666</v>
      </c>
      <c r="E156" s="64">
        <f t="shared" si="12"/>
        <v>122.88205727444507</v>
      </c>
      <c r="F156" s="62" t="str">
        <f t="shared" si="13"/>
        <v/>
      </c>
    </row>
    <row r="157" spans="1:6">
      <c r="A157" s="60">
        <v>15200</v>
      </c>
      <c r="B157" s="60">
        <f t="shared" si="11"/>
        <v>1290089</v>
      </c>
      <c r="C157" s="60">
        <f t="shared" si="14"/>
        <v>1290089</v>
      </c>
      <c r="D157" s="61">
        <f t="shared" si="10"/>
        <v>1.0464</v>
      </c>
      <c r="E157" s="64">
        <f t="shared" si="12"/>
        <v>123.28828005937953</v>
      </c>
      <c r="F157" s="62" t="str">
        <f t="shared" si="13"/>
        <v/>
      </c>
    </row>
    <row r="158" spans="1:6">
      <c r="A158" s="60">
        <v>15300</v>
      </c>
      <c r="B158" s="60">
        <f t="shared" si="11"/>
        <v>1293130</v>
      </c>
      <c r="C158" s="60">
        <f t="shared" si="14"/>
        <v>1293130</v>
      </c>
      <c r="D158" s="61">
        <f t="shared" si="10"/>
        <v>1.0454333333333332</v>
      </c>
      <c r="E158" s="64">
        <f t="shared" si="12"/>
        <v>123.69316876852982</v>
      </c>
      <c r="F158" s="62" t="str">
        <f t="shared" si="13"/>
        <v/>
      </c>
    </row>
    <row r="159" spans="1:6">
      <c r="A159" s="60">
        <v>15400</v>
      </c>
      <c r="B159" s="60">
        <f t="shared" si="11"/>
        <v>1296149</v>
      </c>
      <c r="C159" s="60">
        <f t="shared" si="14"/>
        <v>1296149</v>
      </c>
      <c r="D159" s="61">
        <f t="shared" si="10"/>
        <v>1.0444666666666667</v>
      </c>
      <c r="E159" s="64">
        <f t="shared" si="12"/>
        <v>124.09673645990857</v>
      </c>
      <c r="F159" s="62" t="str">
        <f t="shared" si="13"/>
        <v/>
      </c>
    </row>
    <row r="160" spans="1:6">
      <c r="A160" s="60">
        <v>15500</v>
      </c>
      <c r="B160" s="60">
        <f t="shared" si="11"/>
        <v>1299147</v>
      </c>
      <c r="C160" s="60">
        <f t="shared" si="14"/>
        <v>1299147</v>
      </c>
      <c r="D160" s="61">
        <f t="shared" si="10"/>
        <v>1.0434999999999999</v>
      </c>
      <c r="E160" s="64">
        <f t="shared" si="12"/>
        <v>124.49899597988733</v>
      </c>
      <c r="F160" s="62" t="str">
        <f t="shared" si="13"/>
        <v/>
      </c>
    </row>
    <row r="161" spans="1:6">
      <c r="A161" s="60">
        <v>15600</v>
      </c>
      <c r="B161" s="60">
        <f t="shared" si="11"/>
        <v>1302124</v>
      </c>
      <c r="C161" s="60">
        <f t="shared" si="14"/>
        <v>1302124</v>
      </c>
      <c r="D161" s="61">
        <f t="shared" si="10"/>
        <v>1.0425333333333333</v>
      </c>
      <c r="E161" s="64">
        <f t="shared" si="12"/>
        <v>124.89995996796796</v>
      </c>
      <c r="F161" s="62" t="str">
        <f t="shared" si="13"/>
        <v/>
      </c>
    </row>
    <row r="162" spans="1:6">
      <c r="A162" s="60">
        <v>15700</v>
      </c>
      <c r="B162" s="60">
        <f t="shared" si="11"/>
        <v>1305079</v>
      </c>
      <c r="C162" s="60">
        <f t="shared" si="14"/>
        <v>1305079</v>
      </c>
      <c r="D162" s="61">
        <f t="shared" si="10"/>
        <v>1.0415666666666668</v>
      </c>
      <c r="E162" s="64">
        <f t="shared" si="12"/>
        <v>125.29964086141668</v>
      </c>
      <c r="F162" s="62" t="str">
        <f t="shared" si="13"/>
        <v/>
      </c>
    </row>
    <row r="163" spans="1:6">
      <c r="A163" s="60">
        <v>15800</v>
      </c>
      <c r="B163" s="60">
        <f t="shared" si="11"/>
        <v>1308014</v>
      </c>
      <c r="C163" s="60">
        <f t="shared" si="14"/>
        <v>1308014</v>
      </c>
      <c r="D163" s="61">
        <f t="shared" si="10"/>
        <v>1.0406</v>
      </c>
      <c r="E163" s="64">
        <f t="shared" si="12"/>
        <v>125.69805089976535</v>
      </c>
      <c r="F163" s="62" t="str">
        <f t="shared" si="13"/>
        <v/>
      </c>
    </row>
    <row r="164" spans="1:6">
      <c r="A164" s="60">
        <v>15900</v>
      </c>
      <c r="B164" s="60">
        <f t="shared" si="11"/>
        <v>1310928</v>
      </c>
      <c r="C164" s="60">
        <f t="shared" si="14"/>
        <v>1310928</v>
      </c>
      <c r="D164" s="61">
        <f t="shared" si="10"/>
        <v>1.0396333333333334</v>
      </c>
      <c r="E164" s="64">
        <f t="shared" si="12"/>
        <v>126.09520212918491</v>
      </c>
      <c r="F164" s="62" t="str">
        <f t="shared" si="13"/>
        <v/>
      </c>
    </row>
    <row r="165" spans="1:6">
      <c r="A165" s="60">
        <v>16000</v>
      </c>
      <c r="B165" s="60">
        <f t="shared" si="11"/>
        <v>1313821</v>
      </c>
      <c r="C165" s="60">
        <f t="shared" si="14"/>
        <v>1313821</v>
      </c>
      <c r="D165" s="61">
        <f t="shared" si="10"/>
        <v>1.0386666666666666</v>
      </c>
      <c r="E165" s="64">
        <f t="shared" si="12"/>
        <v>126.49110640673517</v>
      </c>
      <c r="F165" s="62" t="str">
        <f t="shared" si="13"/>
        <v/>
      </c>
    </row>
    <row r="166" spans="1:6">
      <c r="A166" s="60">
        <v>16100</v>
      </c>
      <c r="B166" s="60">
        <f t="shared" si="11"/>
        <v>1316694</v>
      </c>
      <c r="C166" s="60">
        <f t="shared" si="14"/>
        <v>1316694</v>
      </c>
      <c r="D166" s="61">
        <f t="shared" si="10"/>
        <v>1.0377000000000001</v>
      </c>
      <c r="E166" s="64">
        <f t="shared" si="12"/>
        <v>126.88577540449521</v>
      </c>
      <c r="F166" s="62" t="str">
        <f t="shared" si="13"/>
        <v/>
      </c>
    </row>
    <row r="167" spans="1:6">
      <c r="A167" s="60">
        <v>16200</v>
      </c>
      <c r="B167" s="60">
        <f t="shared" si="11"/>
        <v>1319546</v>
      </c>
      <c r="C167" s="60">
        <f t="shared" si="14"/>
        <v>1319546</v>
      </c>
      <c r="D167" s="61">
        <f t="shared" si="10"/>
        <v>1.0367333333333333</v>
      </c>
      <c r="E167" s="64">
        <f t="shared" si="12"/>
        <v>127.27922061357856</v>
      </c>
      <c r="F167" s="62" t="str">
        <f t="shared" si="13"/>
        <v/>
      </c>
    </row>
    <row r="168" spans="1:6">
      <c r="A168" s="60">
        <v>16300</v>
      </c>
      <c r="B168" s="60">
        <f t="shared" si="11"/>
        <v>1322378</v>
      </c>
      <c r="C168" s="60">
        <f t="shared" si="14"/>
        <v>1322378</v>
      </c>
      <c r="D168" s="61">
        <f t="shared" si="10"/>
        <v>1.0357666666666667</v>
      </c>
      <c r="E168" s="64">
        <f t="shared" si="12"/>
        <v>127.67145334803705</v>
      </c>
      <c r="F168" s="62" t="str">
        <f t="shared" si="13"/>
        <v/>
      </c>
    </row>
    <row r="169" spans="1:6">
      <c r="A169" s="60">
        <v>16400</v>
      </c>
      <c r="B169" s="60">
        <f t="shared" si="11"/>
        <v>1325191</v>
      </c>
      <c r="C169" s="60">
        <f t="shared" si="14"/>
        <v>1325191</v>
      </c>
      <c r="D169" s="61">
        <f t="shared" si="10"/>
        <v>1.0347999999999999</v>
      </c>
      <c r="E169" s="64">
        <f t="shared" si="12"/>
        <v>128.06248474865697</v>
      </c>
      <c r="F169" s="62" t="str">
        <f t="shared" si="13"/>
        <v/>
      </c>
    </row>
    <row r="170" spans="1:6">
      <c r="A170" s="60">
        <v>16500</v>
      </c>
      <c r="B170" s="60">
        <f t="shared" si="11"/>
        <v>1327983</v>
      </c>
      <c r="C170" s="60">
        <f t="shared" si="14"/>
        <v>1327983</v>
      </c>
      <c r="D170" s="61">
        <f t="shared" si="10"/>
        <v>1.0338333333333334</v>
      </c>
      <c r="E170" s="64">
        <f t="shared" si="12"/>
        <v>128.4523257866513</v>
      </c>
      <c r="F170" s="62" t="str">
        <f t="shared" si="13"/>
        <v/>
      </c>
    </row>
    <row r="171" spans="1:6">
      <c r="A171" s="60">
        <v>16600</v>
      </c>
      <c r="B171" s="60">
        <f t="shared" si="11"/>
        <v>1330756</v>
      </c>
      <c r="C171" s="60">
        <f t="shared" si="14"/>
        <v>1330756</v>
      </c>
      <c r="D171" s="61">
        <f t="shared" si="10"/>
        <v>1.0328666666666666</v>
      </c>
      <c r="E171" s="64">
        <f t="shared" si="12"/>
        <v>128.84098726725125</v>
      </c>
      <c r="F171" s="62" t="str">
        <f t="shared" si="13"/>
        <v/>
      </c>
    </row>
    <row r="172" spans="1:6">
      <c r="A172" s="60">
        <v>16700</v>
      </c>
      <c r="B172" s="60">
        <f t="shared" si="11"/>
        <v>1333509</v>
      </c>
      <c r="C172" s="60">
        <f t="shared" si="14"/>
        <v>1333509</v>
      </c>
      <c r="D172" s="61">
        <f t="shared" si="10"/>
        <v>1.0319</v>
      </c>
      <c r="E172" s="64">
        <f t="shared" si="12"/>
        <v>129.22847983320085</v>
      </c>
      <c r="F172" s="62" t="str">
        <f t="shared" si="13"/>
        <v/>
      </c>
    </row>
    <row r="173" spans="1:6">
      <c r="A173" s="60">
        <v>16800</v>
      </c>
      <c r="B173" s="60">
        <f t="shared" si="11"/>
        <v>1336242</v>
      </c>
      <c r="C173" s="60">
        <f t="shared" si="14"/>
        <v>1336242</v>
      </c>
      <c r="D173" s="61">
        <f t="shared" si="10"/>
        <v>1.0309333333333333</v>
      </c>
      <c r="E173" s="64">
        <f t="shared" si="12"/>
        <v>129.61481396815719</v>
      </c>
      <c r="F173" s="62" t="str">
        <f t="shared" si="13"/>
        <v/>
      </c>
    </row>
    <row r="174" spans="1:6">
      <c r="A174" s="60">
        <v>16900</v>
      </c>
      <c r="B174" s="60">
        <f t="shared" si="11"/>
        <v>1338957</v>
      </c>
      <c r="C174" s="60">
        <f t="shared" si="14"/>
        <v>1338957</v>
      </c>
      <c r="D174" s="61">
        <f t="shared" si="10"/>
        <v>1.0299666666666667</v>
      </c>
      <c r="E174" s="64">
        <f t="shared" si="12"/>
        <v>130</v>
      </c>
      <c r="F174" s="62" t="str">
        <f t="shared" si="13"/>
        <v/>
      </c>
    </row>
    <row r="175" spans="1:6">
      <c r="A175" s="60">
        <v>17000</v>
      </c>
      <c r="B175" s="60">
        <f t="shared" si="11"/>
        <v>1341652</v>
      </c>
      <c r="C175" s="60">
        <f t="shared" si="14"/>
        <v>1341652</v>
      </c>
      <c r="D175" s="61">
        <f t="shared" si="10"/>
        <v>1.0289999999999999</v>
      </c>
      <c r="E175" s="64">
        <f t="shared" si="12"/>
        <v>130.38404810405297</v>
      </c>
      <c r="F175" s="62" t="str">
        <f t="shared" si="13"/>
        <v/>
      </c>
    </row>
    <row r="176" spans="1:6">
      <c r="A176" s="60">
        <v>17100</v>
      </c>
      <c r="B176" s="60">
        <f t="shared" si="11"/>
        <v>1344328</v>
      </c>
      <c r="C176" s="60">
        <f t="shared" si="14"/>
        <v>1344328</v>
      </c>
      <c r="D176" s="61">
        <f t="shared" si="10"/>
        <v>1.0280333333333334</v>
      </c>
      <c r="E176" s="64">
        <f t="shared" si="12"/>
        <v>130.76696830622021</v>
      </c>
      <c r="F176" s="62" t="str">
        <f t="shared" si="13"/>
        <v/>
      </c>
    </row>
    <row r="177" spans="1:6">
      <c r="A177" s="60">
        <v>17200</v>
      </c>
      <c r="B177" s="60">
        <f t="shared" si="11"/>
        <v>1346985</v>
      </c>
      <c r="C177" s="60">
        <f t="shared" si="14"/>
        <v>1346985</v>
      </c>
      <c r="D177" s="61">
        <f t="shared" si="10"/>
        <v>1.0270666666666666</v>
      </c>
      <c r="E177" s="64">
        <f t="shared" si="12"/>
        <v>131.14877048604001</v>
      </c>
      <c r="F177" s="62" t="str">
        <f t="shared" si="13"/>
        <v/>
      </c>
    </row>
    <row r="178" spans="1:6">
      <c r="A178" s="60">
        <v>17300</v>
      </c>
      <c r="B178" s="60">
        <f t="shared" si="11"/>
        <v>1349624</v>
      </c>
      <c r="C178" s="60">
        <f t="shared" si="14"/>
        <v>1349624</v>
      </c>
      <c r="D178" s="61">
        <f t="shared" si="10"/>
        <v>1.0261</v>
      </c>
      <c r="E178" s="64">
        <f t="shared" si="12"/>
        <v>131.52946437965906</v>
      </c>
      <c r="F178" s="62" t="str">
        <f t="shared" si="13"/>
        <v/>
      </c>
    </row>
    <row r="179" spans="1:6">
      <c r="A179" s="60">
        <v>17400</v>
      </c>
      <c r="B179" s="60">
        <f t="shared" si="11"/>
        <v>1352244</v>
      </c>
      <c r="C179" s="60">
        <f t="shared" si="14"/>
        <v>1352244</v>
      </c>
      <c r="D179" s="61">
        <f t="shared" si="10"/>
        <v>1.0251333333333332</v>
      </c>
      <c r="E179" s="64">
        <f t="shared" si="12"/>
        <v>131.90905958272918</v>
      </c>
      <c r="F179" s="62" t="str">
        <f t="shared" si="13"/>
        <v/>
      </c>
    </row>
    <row r="180" spans="1:6">
      <c r="A180" s="60">
        <v>17500</v>
      </c>
      <c r="B180" s="60">
        <f t="shared" si="11"/>
        <v>1354845</v>
      </c>
      <c r="C180" s="60">
        <f t="shared" si="14"/>
        <v>1354845</v>
      </c>
      <c r="D180" s="61">
        <f t="shared" si="10"/>
        <v>1.0241666666666667</v>
      </c>
      <c r="E180" s="64">
        <f t="shared" si="12"/>
        <v>132.28756555322954</v>
      </c>
      <c r="F180" s="62" t="str">
        <f t="shared" si="13"/>
        <v/>
      </c>
    </row>
    <row r="181" spans="1:6">
      <c r="A181" s="60">
        <v>17600</v>
      </c>
      <c r="B181" s="60">
        <f t="shared" si="11"/>
        <v>1357428</v>
      </c>
      <c r="C181" s="60">
        <f t="shared" si="14"/>
        <v>1357428</v>
      </c>
      <c r="D181" s="61">
        <f t="shared" si="10"/>
        <v>1.0232000000000001</v>
      </c>
      <c r="E181" s="64">
        <f t="shared" si="12"/>
        <v>132.66499161421601</v>
      </c>
      <c r="F181" s="62" t="str">
        <f t="shared" si="13"/>
        <v/>
      </c>
    </row>
    <row r="182" spans="1:6">
      <c r="A182" s="60">
        <v>17700</v>
      </c>
      <c r="B182" s="60">
        <f t="shared" si="11"/>
        <v>1359993</v>
      </c>
      <c r="C182" s="60">
        <f t="shared" si="14"/>
        <v>1359993</v>
      </c>
      <c r="D182" s="61">
        <f t="shared" si="10"/>
        <v>1.0222333333333333</v>
      </c>
      <c r="E182" s="64">
        <f t="shared" si="12"/>
        <v>133.04134695650072</v>
      </c>
      <c r="F182" s="62" t="str">
        <f t="shared" si="13"/>
        <v/>
      </c>
    </row>
    <row r="183" spans="1:6">
      <c r="A183" s="60">
        <v>17800</v>
      </c>
      <c r="B183" s="60">
        <f t="shared" si="11"/>
        <v>1362540</v>
      </c>
      <c r="C183" s="60">
        <f t="shared" si="14"/>
        <v>1362540</v>
      </c>
      <c r="D183" s="61">
        <f t="shared" si="10"/>
        <v>1.0212666666666665</v>
      </c>
      <c r="E183" s="64">
        <f t="shared" si="12"/>
        <v>133.41664064126334</v>
      </c>
      <c r="F183" s="62" t="str">
        <f t="shared" si="13"/>
        <v/>
      </c>
    </row>
    <row r="184" spans="1:6">
      <c r="A184" s="60">
        <v>17900</v>
      </c>
      <c r="B184" s="60">
        <f t="shared" si="11"/>
        <v>1365068</v>
      </c>
      <c r="C184" s="60">
        <f t="shared" si="14"/>
        <v>1365068</v>
      </c>
      <c r="D184" s="61">
        <f t="shared" si="10"/>
        <v>1.0203</v>
      </c>
      <c r="E184" s="64">
        <f t="shared" si="12"/>
        <v>133.79088160259653</v>
      </c>
      <c r="F184" s="62" t="str">
        <f t="shared" si="13"/>
        <v/>
      </c>
    </row>
    <row r="185" spans="1:6">
      <c r="A185" s="60">
        <v>18000</v>
      </c>
      <c r="B185" s="60">
        <f t="shared" si="11"/>
        <v>1367579</v>
      </c>
      <c r="C185" s="60">
        <f t="shared" si="14"/>
        <v>1367579</v>
      </c>
      <c r="D185" s="61">
        <f t="shared" si="10"/>
        <v>1.0193333333333334</v>
      </c>
      <c r="E185" s="64">
        <f t="shared" si="12"/>
        <v>134.16407864998737</v>
      </c>
      <c r="F185" s="62" t="str">
        <f t="shared" si="13"/>
        <v/>
      </c>
    </row>
    <row r="186" spans="1:6">
      <c r="A186" s="60">
        <v>18100</v>
      </c>
      <c r="B186" s="60">
        <f t="shared" si="11"/>
        <v>1370072</v>
      </c>
      <c r="C186" s="60">
        <f t="shared" si="14"/>
        <v>1370072</v>
      </c>
      <c r="D186" s="61">
        <f t="shared" si="10"/>
        <v>1.0183666666666666</v>
      </c>
      <c r="E186" s="64">
        <f t="shared" si="12"/>
        <v>134.53624047073711</v>
      </c>
      <c r="F186" s="62" t="str">
        <f t="shared" si="13"/>
        <v/>
      </c>
    </row>
    <row r="187" spans="1:6">
      <c r="A187" s="60">
        <v>18200</v>
      </c>
      <c r="B187" s="60">
        <f t="shared" si="11"/>
        <v>1372548</v>
      </c>
      <c r="C187" s="60">
        <f t="shared" si="14"/>
        <v>1372548</v>
      </c>
      <c r="D187" s="61">
        <f t="shared" si="10"/>
        <v>1.0174000000000001</v>
      </c>
      <c r="E187" s="64">
        <f t="shared" si="12"/>
        <v>134.90737563232042</v>
      </c>
      <c r="F187" s="62" t="str">
        <f t="shared" si="13"/>
        <v/>
      </c>
    </row>
    <row r="188" spans="1:6">
      <c r="A188" s="60">
        <v>18300</v>
      </c>
      <c r="B188" s="60">
        <f t="shared" si="11"/>
        <v>1375006</v>
      </c>
      <c r="C188" s="60">
        <f t="shared" si="14"/>
        <v>1375006</v>
      </c>
      <c r="D188" s="61">
        <f t="shared" si="10"/>
        <v>1.0164333333333333</v>
      </c>
      <c r="E188" s="64">
        <f t="shared" si="12"/>
        <v>135.27749258468683</v>
      </c>
      <c r="F188" s="62" t="str">
        <f t="shared" si="13"/>
        <v/>
      </c>
    </row>
    <row r="189" spans="1:6">
      <c r="A189" s="60">
        <v>18400</v>
      </c>
      <c r="B189" s="60">
        <f t="shared" si="11"/>
        <v>1377446</v>
      </c>
      <c r="C189" s="60">
        <f t="shared" si="14"/>
        <v>1377446</v>
      </c>
      <c r="D189" s="61">
        <f t="shared" si="10"/>
        <v>1.0154666666666667</v>
      </c>
      <c r="E189" s="64">
        <f t="shared" si="12"/>
        <v>135.64659966250537</v>
      </c>
      <c r="F189" s="62" t="str">
        <f t="shared" si="13"/>
        <v/>
      </c>
    </row>
    <row r="190" spans="1:6">
      <c r="A190" s="60">
        <v>18500</v>
      </c>
      <c r="B190" s="60">
        <f t="shared" si="11"/>
        <v>1379869</v>
      </c>
      <c r="C190" s="60">
        <f t="shared" si="14"/>
        <v>1379869</v>
      </c>
      <c r="D190" s="61">
        <f t="shared" si="10"/>
        <v>1.0145</v>
      </c>
      <c r="E190" s="64">
        <f t="shared" si="12"/>
        <v>136.01470508735443</v>
      </c>
      <c r="F190" s="62" t="str">
        <f t="shared" si="13"/>
        <v/>
      </c>
    </row>
    <row r="191" spans="1:6">
      <c r="A191" s="60">
        <v>18600</v>
      </c>
      <c r="B191" s="60">
        <f t="shared" si="11"/>
        <v>1382275</v>
      </c>
      <c r="C191" s="60">
        <f t="shared" si="14"/>
        <v>1382275</v>
      </c>
      <c r="D191" s="61">
        <f t="shared" si="10"/>
        <v>1.0135333333333334</v>
      </c>
      <c r="E191" s="64">
        <f t="shared" si="12"/>
        <v>136.38181696985856</v>
      </c>
      <c r="F191" s="62" t="str">
        <f t="shared" si="13"/>
        <v/>
      </c>
    </row>
    <row r="192" spans="1:6">
      <c r="A192" s="60">
        <v>18700</v>
      </c>
      <c r="B192" s="60">
        <f t="shared" si="11"/>
        <v>1384664</v>
      </c>
      <c r="C192" s="60">
        <f t="shared" si="14"/>
        <v>1384664</v>
      </c>
      <c r="D192" s="61">
        <f t="shared" si="10"/>
        <v>1.0125666666666666</v>
      </c>
      <c r="E192" s="64">
        <f t="shared" si="12"/>
        <v>136.74794331177344</v>
      </c>
      <c r="F192" s="62" t="str">
        <f t="shared" si="13"/>
        <v/>
      </c>
    </row>
    <row r="193" spans="1:6">
      <c r="A193" s="60">
        <v>18800</v>
      </c>
      <c r="B193" s="60">
        <f t="shared" si="11"/>
        <v>1387036</v>
      </c>
      <c r="C193" s="60">
        <f t="shared" si="14"/>
        <v>1387036</v>
      </c>
      <c r="D193" s="61">
        <f t="shared" si="10"/>
        <v>1.0116000000000001</v>
      </c>
      <c r="E193" s="64">
        <f t="shared" si="12"/>
        <v>137.11309200802089</v>
      </c>
      <c r="F193" s="62" t="str">
        <f t="shared" si="13"/>
        <v/>
      </c>
    </row>
    <row r="194" spans="1:6">
      <c r="A194" s="60">
        <v>18900</v>
      </c>
      <c r="B194" s="60">
        <f t="shared" si="11"/>
        <v>1389391</v>
      </c>
      <c r="C194" s="60">
        <f t="shared" si="14"/>
        <v>1389391</v>
      </c>
      <c r="D194" s="61">
        <f t="shared" si="10"/>
        <v>1.0106333333333333</v>
      </c>
      <c r="E194" s="64">
        <f t="shared" si="12"/>
        <v>137.4772708486752</v>
      </c>
      <c r="F194" s="62" t="str">
        <f t="shared" si="13"/>
        <v/>
      </c>
    </row>
    <row r="195" spans="1:6">
      <c r="A195" s="60">
        <v>19000</v>
      </c>
      <c r="B195" s="60">
        <f t="shared" si="11"/>
        <v>1391729</v>
      </c>
      <c r="C195" s="60">
        <f t="shared" si="14"/>
        <v>1391729</v>
      </c>
      <c r="D195" s="61">
        <f t="shared" si="10"/>
        <v>1.0096666666666667</v>
      </c>
      <c r="E195" s="64">
        <f t="shared" si="12"/>
        <v>137.84048752090223</v>
      </c>
      <c r="F195" s="62" t="str">
        <f t="shared" si="13"/>
        <v/>
      </c>
    </row>
    <row r="196" spans="1:6">
      <c r="A196" s="60">
        <v>19100</v>
      </c>
      <c r="B196" s="60">
        <f t="shared" si="11"/>
        <v>1394051</v>
      </c>
      <c r="C196" s="60">
        <f t="shared" si="14"/>
        <v>1394051</v>
      </c>
      <c r="D196" s="61">
        <f t="shared" si="10"/>
        <v>1.0086999999999999</v>
      </c>
      <c r="E196" s="64">
        <f t="shared" si="12"/>
        <v>138.20274961085252</v>
      </c>
      <c r="F196" s="62" t="str">
        <f t="shared" si="13"/>
        <v/>
      </c>
    </row>
    <row r="197" spans="1:6">
      <c r="A197" s="60">
        <v>19200</v>
      </c>
      <c r="B197" s="60">
        <f t="shared" si="11"/>
        <v>1396356</v>
      </c>
      <c r="C197" s="60">
        <f t="shared" si="14"/>
        <v>1396356</v>
      </c>
      <c r="D197" s="61">
        <f t="shared" ref="D197:D260" si="15">(A197-INDEX(兵力区间,MATCH(A197,兵力区间,1)))/(INDEX(兵力区间,MATCH(A197,兵力区间,1)+1)-INDEX(兵力区间,MATCH(A197,兵力区间,1)))*((INDEX(兵力调节,MATCH(A197,兵力区间,1)+1,2)-INDEX(兵力调节,MATCH(A197,兵力区间,1),2)))+INDEX(兵力调节,MATCH(A197,兵力区间,1),2)</f>
        <v>1.0077333333333334</v>
      </c>
      <c r="E197" s="64">
        <f t="shared" si="12"/>
        <v>138.5640646055102</v>
      </c>
      <c r="F197" s="62" t="str">
        <f t="shared" si="13"/>
        <v/>
      </c>
    </row>
    <row r="198" spans="1:6">
      <c r="A198" s="60">
        <v>19300</v>
      </c>
      <c r="B198" s="60">
        <f t="shared" si="11"/>
        <v>1398645</v>
      </c>
      <c r="C198" s="60">
        <f t="shared" si="14"/>
        <v>1398645</v>
      </c>
      <c r="D198" s="61">
        <f t="shared" si="15"/>
        <v>1.0067666666666666</v>
      </c>
      <c r="E198" s="64">
        <f t="shared" si="12"/>
        <v>138.92443989449805</v>
      </c>
      <c r="F198" s="62" t="str">
        <f t="shared" si="13"/>
        <v/>
      </c>
    </row>
    <row r="199" spans="1:6">
      <c r="A199" s="60">
        <v>19400</v>
      </c>
      <c r="B199" s="60">
        <f t="shared" ref="B199:B262" si="16">ROUND(D199*E199*10000,0)</f>
        <v>1400917</v>
      </c>
      <c r="C199" s="60">
        <f t="shared" si="14"/>
        <v>1400917</v>
      </c>
      <c r="D199" s="61">
        <f t="shared" si="15"/>
        <v>1.0058</v>
      </c>
      <c r="E199" s="64">
        <f t="shared" ref="E199:E262" si="17">A199^0.5</f>
        <v>139.28388277184121</v>
      </c>
      <c r="F199" s="62" t="str">
        <f t="shared" si="13"/>
        <v/>
      </c>
    </row>
    <row r="200" spans="1:6">
      <c r="A200" s="60">
        <v>19500</v>
      </c>
      <c r="B200" s="60">
        <f t="shared" si="16"/>
        <v>1403173</v>
      </c>
      <c r="C200" s="60">
        <f t="shared" si="14"/>
        <v>1403173</v>
      </c>
      <c r="D200" s="61">
        <f t="shared" si="15"/>
        <v>1.0048333333333332</v>
      </c>
      <c r="E200" s="64">
        <f t="shared" si="17"/>
        <v>139.64240043768942</v>
      </c>
      <c r="F200" s="62" t="str">
        <f t="shared" ref="F200:F263" si="18">IF(B200&lt;B199,1,"")</f>
        <v/>
      </c>
    </row>
    <row r="201" spans="1:6">
      <c r="A201" s="60">
        <v>19600</v>
      </c>
      <c r="B201" s="60">
        <f t="shared" si="16"/>
        <v>1405413</v>
      </c>
      <c r="C201" s="60">
        <f t="shared" si="14"/>
        <v>1405413</v>
      </c>
      <c r="D201" s="61">
        <f t="shared" si="15"/>
        <v>1.0038666666666667</v>
      </c>
      <c r="E201" s="64">
        <f t="shared" si="17"/>
        <v>140</v>
      </c>
      <c r="F201" s="62" t="str">
        <f t="shared" si="18"/>
        <v/>
      </c>
    </row>
    <row r="202" spans="1:6">
      <c r="A202" s="60">
        <v>19700</v>
      </c>
      <c r="B202" s="60">
        <f t="shared" si="16"/>
        <v>1407637</v>
      </c>
      <c r="C202" s="60">
        <f t="shared" si="14"/>
        <v>1407637</v>
      </c>
      <c r="D202" s="61">
        <f t="shared" si="15"/>
        <v>1.0028999999999999</v>
      </c>
      <c r="E202" s="64">
        <f t="shared" si="17"/>
        <v>140.356688476182</v>
      </c>
      <c r="F202" s="62" t="str">
        <f t="shared" si="18"/>
        <v/>
      </c>
    </row>
    <row r="203" spans="1:6">
      <c r="A203" s="60">
        <v>19800</v>
      </c>
      <c r="B203" s="60">
        <f t="shared" si="16"/>
        <v>1409845</v>
      </c>
      <c r="C203" s="60">
        <f t="shared" ref="C203:C266" si="19">ROUND(D203*E203*10000,0)</f>
        <v>1409845</v>
      </c>
      <c r="D203" s="61">
        <f t="shared" si="15"/>
        <v>1.0019333333333333</v>
      </c>
      <c r="E203" s="64">
        <f t="shared" si="17"/>
        <v>140.71247279470288</v>
      </c>
      <c r="F203" s="62" t="str">
        <f t="shared" si="18"/>
        <v/>
      </c>
    </row>
    <row r="204" spans="1:6">
      <c r="A204" s="60">
        <v>19900</v>
      </c>
      <c r="B204" s="60">
        <f t="shared" si="16"/>
        <v>1412037</v>
      </c>
      <c r="C204" s="60">
        <f t="shared" si="19"/>
        <v>1412037</v>
      </c>
      <c r="D204" s="61">
        <f t="shared" si="15"/>
        <v>1.0009666666666666</v>
      </c>
      <c r="E204" s="64">
        <f t="shared" si="17"/>
        <v>141.06735979665885</v>
      </c>
      <c r="F204" s="62" t="str">
        <f t="shared" si="18"/>
        <v/>
      </c>
    </row>
    <row r="205" spans="1:6">
      <c r="A205" s="60">
        <v>20000</v>
      </c>
      <c r="B205" s="60">
        <f t="shared" si="16"/>
        <v>1414214</v>
      </c>
      <c r="C205" s="60">
        <f t="shared" si="19"/>
        <v>1414214</v>
      </c>
      <c r="D205" s="61">
        <f t="shared" si="15"/>
        <v>1</v>
      </c>
      <c r="E205" s="64">
        <f t="shared" si="17"/>
        <v>141.42135623730951</v>
      </c>
      <c r="F205" s="62" t="str">
        <f t="shared" si="18"/>
        <v/>
      </c>
    </row>
    <row r="206" spans="1:6">
      <c r="A206" s="60">
        <v>20100</v>
      </c>
      <c r="B206" s="60">
        <f t="shared" si="16"/>
        <v>1417745</v>
      </c>
      <c r="C206" s="60">
        <f t="shared" si="19"/>
        <v>1417745</v>
      </c>
      <c r="D206" s="61">
        <f t="shared" si="15"/>
        <v>1</v>
      </c>
      <c r="E206" s="64">
        <f t="shared" si="17"/>
        <v>141.77446878757826</v>
      </c>
      <c r="F206" s="62" t="str">
        <f t="shared" si="18"/>
        <v/>
      </c>
    </row>
    <row r="207" spans="1:6">
      <c r="A207" s="60">
        <v>20200</v>
      </c>
      <c r="B207" s="60">
        <f t="shared" si="16"/>
        <v>1421267</v>
      </c>
      <c r="C207" s="60">
        <f t="shared" si="19"/>
        <v>1421267</v>
      </c>
      <c r="D207" s="61">
        <f t="shared" si="15"/>
        <v>1</v>
      </c>
      <c r="E207" s="64">
        <f t="shared" si="17"/>
        <v>142.12670403551894</v>
      </c>
      <c r="F207" s="62" t="str">
        <f t="shared" si="18"/>
        <v/>
      </c>
    </row>
    <row r="208" spans="1:6">
      <c r="A208" s="60">
        <v>20300</v>
      </c>
      <c r="B208" s="60">
        <f t="shared" si="16"/>
        <v>1424781</v>
      </c>
      <c r="C208" s="60">
        <f t="shared" si="19"/>
        <v>1424781</v>
      </c>
      <c r="D208" s="61">
        <f t="shared" si="15"/>
        <v>1</v>
      </c>
      <c r="E208" s="64">
        <f t="shared" si="17"/>
        <v>142.47806848775008</v>
      </c>
      <c r="F208" s="62" t="str">
        <f t="shared" si="18"/>
        <v/>
      </c>
    </row>
    <row r="209" spans="1:6">
      <c r="A209" s="60">
        <v>20400</v>
      </c>
      <c r="B209" s="60">
        <f t="shared" si="16"/>
        <v>1428286</v>
      </c>
      <c r="C209" s="60">
        <f t="shared" si="19"/>
        <v>1428286</v>
      </c>
      <c r="D209" s="61">
        <f t="shared" si="15"/>
        <v>1</v>
      </c>
      <c r="E209" s="64">
        <f t="shared" si="17"/>
        <v>142.82856857085699</v>
      </c>
      <c r="F209" s="62" t="str">
        <f t="shared" si="18"/>
        <v/>
      </c>
    </row>
    <row r="210" spans="1:6">
      <c r="A210" s="60">
        <v>20500</v>
      </c>
      <c r="B210" s="60">
        <f t="shared" si="16"/>
        <v>1431782</v>
      </c>
      <c r="C210" s="60">
        <f t="shared" si="19"/>
        <v>1431782</v>
      </c>
      <c r="D210" s="61">
        <f t="shared" si="15"/>
        <v>1</v>
      </c>
      <c r="E210" s="64">
        <f t="shared" si="17"/>
        <v>143.17821063276352</v>
      </c>
      <c r="F210" s="62" t="str">
        <f t="shared" si="18"/>
        <v/>
      </c>
    </row>
    <row r="211" spans="1:6">
      <c r="A211" s="60">
        <v>20600</v>
      </c>
      <c r="B211" s="60">
        <f t="shared" si="16"/>
        <v>1435270</v>
      </c>
      <c r="C211" s="60">
        <f t="shared" si="19"/>
        <v>1435270</v>
      </c>
      <c r="D211" s="61">
        <f t="shared" si="15"/>
        <v>1</v>
      </c>
      <c r="E211" s="64">
        <f t="shared" si="17"/>
        <v>143.52700094407325</v>
      </c>
      <c r="F211" s="62" t="str">
        <f t="shared" si="18"/>
        <v/>
      </c>
    </row>
    <row r="212" spans="1:6">
      <c r="A212" s="60">
        <v>20700</v>
      </c>
      <c r="B212" s="60">
        <f t="shared" si="16"/>
        <v>1438749</v>
      </c>
      <c r="C212" s="60">
        <f t="shared" si="19"/>
        <v>1438749</v>
      </c>
      <c r="D212" s="61">
        <f t="shared" si="15"/>
        <v>1</v>
      </c>
      <c r="E212" s="64">
        <f t="shared" si="17"/>
        <v>143.87494569938158</v>
      </c>
      <c r="F212" s="62" t="str">
        <f t="shared" si="18"/>
        <v/>
      </c>
    </row>
    <row r="213" spans="1:6">
      <c r="A213" s="60">
        <v>20800</v>
      </c>
      <c r="B213" s="60">
        <f t="shared" si="16"/>
        <v>1442221</v>
      </c>
      <c r="C213" s="60">
        <f t="shared" si="19"/>
        <v>1442221</v>
      </c>
      <c r="D213" s="61">
        <f t="shared" si="15"/>
        <v>1</v>
      </c>
      <c r="E213" s="64">
        <f t="shared" si="17"/>
        <v>144.22205101855957</v>
      </c>
      <c r="F213" s="62" t="str">
        <f t="shared" si="18"/>
        <v/>
      </c>
    </row>
    <row r="214" spans="1:6">
      <c r="A214" s="60">
        <v>20900</v>
      </c>
      <c r="B214" s="60">
        <f t="shared" si="16"/>
        <v>1445683</v>
      </c>
      <c r="C214" s="60">
        <f t="shared" si="19"/>
        <v>1445683</v>
      </c>
      <c r="D214" s="61">
        <f t="shared" si="15"/>
        <v>1</v>
      </c>
      <c r="E214" s="64">
        <f t="shared" si="17"/>
        <v>144.56832294800961</v>
      </c>
      <c r="F214" s="62" t="str">
        <f t="shared" si="18"/>
        <v/>
      </c>
    </row>
    <row r="215" spans="1:6">
      <c r="A215" s="60">
        <v>21000</v>
      </c>
      <c r="B215" s="60">
        <f t="shared" si="16"/>
        <v>1449138</v>
      </c>
      <c r="C215" s="60">
        <f t="shared" si="19"/>
        <v>1449138</v>
      </c>
      <c r="D215" s="61">
        <f t="shared" si="15"/>
        <v>1</v>
      </c>
      <c r="E215" s="64">
        <f t="shared" si="17"/>
        <v>144.91376746189439</v>
      </c>
      <c r="F215" s="62" t="str">
        <f t="shared" si="18"/>
        <v/>
      </c>
    </row>
    <row r="216" spans="1:6">
      <c r="A216" s="60">
        <v>21100</v>
      </c>
      <c r="B216" s="60">
        <f t="shared" si="16"/>
        <v>1452584</v>
      </c>
      <c r="C216" s="60">
        <f t="shared" si="19"/>
        <v>1452584</v>
      </c>
      <c r="D216" s="61">
        <f t="shared" si="15"/>
        <v>1</v>
      </c>
      <c r="E216" s="64">
        <f t="shared" si="17"/>
        <v>145.25839046333951</v>
      </c>
      <c r="F216" s="62" t="str">
        <f t="shared" si="18"/>
        <v/>
      </c>
    </row>
    <row r="217" spans="1:6">
      <c r="A217" s="60">
        <v>21200</v>
      </c>
      <c r="B217" s="60">
        <f t="shared" si="16"/>
        <v>1456022</v>
      </c>
      <c r="C217" s="60">
        <f t="shared" si="19"/>
        <v>1456022</v>
      </c>
      <c r="D217" s="61">
        <f t="shared" si="15"/>
        <v>1</v>
      </c>
      <c r="E217" s="64">
        <f t="shared" si="17"/>
        <v>145.60219778561037</v>
      </c>
      <c r="F217" s="62" t="str">
        <f t="shared" si="18"/>
        <v/>
      </c>
    </row>
    <row r="218" spans="1:6">
      <c r="A218" s="60">
        <v>21300</v>
      </c>
      <c r="B218" s="60">
        <f t="shared" si="16"/>
        <v>1459452</v>
      </c>
      <c r="C218" s="60">
        <f t="shared" si="19"/>
        <v>1459452</v>
      </c>
      <c r="D218" s="61">
        <f t="shared" si="15"/>
        <v>1</v>
      </c>
      <c r="E218" s="64">
        <f t="shared" si="17"/>
        <v>145.94519519326425</v>
      </c>
      <c r="F218" s="62" t="str">
        <f t="shared" si="18"/>
        <v/>
      </c>
    </row>
    <row r="219" spans="1:6">
      <c r="A219" s="60">
        <v>21400</v>
      </c>
      <c r="B219" s="60">
        <f t="shared" si="16"/>
        <v>1462874</v>
      </c>
      <c r="C219" s="60">
        <f t="shared" si="19"/>
        <v>1462874</v>
      </c>
      <c r="D219" s="61">
        <f t="shared" si="15"/>
        <v>1</v>
      </c>
      <c r="E219" s="64">
        <f t="shared" si="17"/>
        <v>146.28738838327794</v>
      </c>
      <c r="F219" s="62" t="str">
        <f t="shared" si="18"/>
        <v/>
      </c>
    </row>
    <row r="220" spans="1:6">
      <c r="A220" s="60">
        <v>21500</v>
      </c>
      <c r="B220" s="60">
        <f t="shared" si="16"/>
        <v>1466288</v>
      </c>
      <c r="C220" s="60">
        <f t="shared" si="19"/>
        <v>1466288</v>
      </c>
      <c r="D220" s="61">
        <f t="shared" si="15"/>
        <v>1</v>
      </c>
      <c r="E220" s="64">
        <f t="shared" si="17"/>
        <v>146.6287829861518</v>
      </c>
      <c r="F220" s="62" t="str">
        <f t="shared" si="18"/>
        <v/>
      </c>
    </row>
    <row r="221" spans="1:6">
      <c r="A221" s="60">
        <v>21600</v>
      </c>
      <c r="B221" s="60">
        <f t="shared" si="16"/>
        <v>1469694</v>
      </c>
      <c r="C221" s="60">
        <f t="shared" si="19"/>
        <v>1469694</v>
      </c>
      <c r="D221" s="61">
        <f t="shared" si="15"/>
        <v>1</v>
      </c>
      <c r="E221" s="64">
        <f t="shared" si="17"/>
        <v>146.9693845669907</v>
      </c>
      <c r="F221" s="62" t="str">
        <f t="shared" si="18"/>
        <v/>
      </c>
    </row>
    <row r="222" spans="1:6">
      <c r="A222" s="60">
        <v>21700</v>
      </c>
      <c r="B222" s="60">
        <f t="shared" si="16"/>
        <v>1473092</v>
      </c>
      <c r="C222" s="60">
        <f t="shared" si="19"/>
        <v>1473092</v>
      </c>
      <c r="D222" s="61">
        <f t="shared" si="15"/>
        <v>1</v>
      </c>
      <c r="E222" s="64">
        <f t="shared" si="17"/>
        <v>147.30919862656236</v>
      </c>
      <c r="F222" s="62" t="str">
        <f t="shared" si="18"/>
        <v/>
      </c>
    </row>
    <row r="223" spans="1:6">
      <c r="A223" s="60">
        <v>21800</v>
      </c>
      <c r="B223" s="60">
        <f t="shared" si="16"/>
        <v>1476482</v>
      </c>
      <c r="C223" s="60">
        <f t="shared" si="19"/>
        <v>1476482</v>
      </c>
      <c r="D223" s="61">
        <f t="shared" si="15"/>
        <v>1</v>
      </c>
      <c r="E223" s="64">
        <f t="shared" si="17"/>
        <v>147.648230602334</v>
      </c>
      <c r="F223" s="62" t="str">
        <f t="shared" si="18"/>
        <v/>
      </c>
    </row>
    <row r="224" spans="1:6">
      <c r="A224" s="60">
        <v>21900</v>
      </c>
      <c r="B224" s="60">
        <f t="shared" si="16"/>
        <v>1479865</v>
      </c>
      <c r="C224" s="60">
        <f t="shared" si="19"/>
        <v>1479865</v>
      </c>
      <c r="D224" s="61">
        <f t="shared" si="15"/>
        <v>1</v>
      </c>
      <c r="E224" s="64">
        <f t="shared" si="17"/>
        <v>147.98648586948741</v>
      </c>
      <c r="F224" s="62" t="str">
        <f t="shared" si="18"/>
        <v/>
      </c>
    </row>
    <row r="225" spans="1:6">
      <c r="A225" s="60">
        <v>22000</v>
      </c>
      <c r="B225" s="60">
        <f t="shared" si="16"/>
        <v>1483240</v>
      </c>
      <c r="C225" s="60">
        <f t="shared" si="19"/>
        <v>1483240</v>
      </c>
      <c r="D225" s="61">
        <f t="shared" si="15"/>
        <v>1</v>
      </c>
      <c r="E225" s="64">
        <f t="shared" si="17"/>
        <v>148.32396974191326</v>
      </c>
      <c r="F225" s="62" t="str">
        <f t="shared" si="18"/>
        <v/>
      </c>
    </row>
    <row r="226" spans="1:6">
      <c r="A226" s="60">
        <v>22100</v>
      </c>
      <c r="B226" s="60">
        <f t="shared" si="16"/>
        <v>1486607</v>
      </c>
      <c r="C226" s="60">
        <f t="shared" si="19"/>
        <v>1486607</v>
      </c>
      <c r="D226" s="61">
        <f t="shared" si="15"/>
        <v>1</v>
      </c>
      <c r="E226" s="64">
        <f t="shared" si="17"/>
        <v>148.66068747318505</v>
      </c>
      <c r="F226" s="62" t="str">
        <f t="shared" si="18"/>
        <v/>
      </c>
    </row>
    <row r="227" spans="1:6">
      <c r="A227" s="60">
        <v>22200</v>
      </c>
      <c r="B227" s="60">
        <f t="shared" si="16"/>
        <v>1489966</v>
      </c>
      <c r="C227" s="60">
        <f t="shared" si="19"/>
        <v>1489966</v>
      </c>
      <c r="D227" s="61">
        <f t="shared" si="15"/>
        <v>1</v>
      </c>
      <c r="E227" s="64">
        <f t="shared" si="17"/>
        <v>148.9966442575134</v>
      </c>
      <c r="F227" s="62" t="str">
        <f t="shared" si="18"/>
        <v/>
      </c>
    </row>
    <row r="228" spans="1:6">
      <c r="A228" s="60">
        <v>22300</v>
      </c>
      <c r="B228" s="60">
        <f t="shared" si="16"/>
        <v>1493318</v>
      </c>
      <c r="C228" s="60">
        <f t="shared" si="19"/>
        <v>1493318</v>
      </c>
      <c r="D228" s="61">
        <f t="shared" si="15"/>
        <v>1</v>
      </c>
      <c r="E228" s="64">
        <f t="shared" si="17"/>
        <v>149.33184523068078</v>
      </c>
      <c r="F228" s="62" t="str">
        <f t="shared" si="18"/>
        <v/>
      </c>
    </row>
    <row r="229" spans="1:6">
      <c r="A229" s="60">
        <v>22400</v>
      </c>
      <c r="B229" s="60">
        <f t="shared" si="16"/>
        <v>1496663</v>
      </c>
      <c r="C229" s="60">
        <f t="shared" si="19"/>
        <v>1496663</v>
      </c>
      <c r="D229" s="61">
        <f t="shared" si="15"/>
        <v>1</v>
      </c>
      <c r="E229" s="64">
        <f t="shared" si="17"/>
        <v>149.66629547095766</v>
      </c>
      <c r="F229" s="62" t="str">
        <f t="shared" si="18"/>
        <v/>
      </c>
    </row>
    <row r="230" spans="1:6">
      <c r="A230" s="60">
        <v>22500</v>
      </c>
      <c r="B230" s="60">
        <f t="shared" si="16"/>
        <v>1500000</v>
      </c>
      <c r="C230" s="60">
        <f t="shared" si="19"/>
        <v>1500000</v>
      </c>
      <c r="D230" s="61">
        <f t="shared" si="15"/>
        <v>1</v>
      </c>
      <c r="E230" s="64">
        <f t="shared" si="17"/>
        <v>150</v>
      </c>
      <c r="F230" s="62" t="str">
        <f t="shared" si="18"/>
        <v/>
      </c>
    </row>
    <row r="231" spans="1:6">
      <c r="A231" s="60">
        <v>22600</v>
      </c>
      <c r="B231" s="60">
        <f t="shared" si="16"/>
        <v>1503330</v>
      </c>
      <c r="C231" s="60">
        <f t="shared" si="19"/>
        <v>1503330</v>
      </c>
      <c r="D231" s="61">
        <f t="shared" si="15"/>
        <v>1</v>
      </c>
      <c r="E231" s="64">
        <f t="shared" si="17"/>
        <v>150.33296378372907</v>
      </c>
      <c r="F231" s="62" t="str">
        <f t="shared" si="18"/>
        <v/>
      </c>
    </row>
    <row r="232" spans="1:6">
      <c r="A232" s="60">
        <v>22700</v>
      </c>
      <c r="B232" s="60">
        <f t="shared" si="16"/>
        <v>1506652</v>
      </c>
      <c r="C232" s="60">
        <f t="shared" si="19"/>
        <v>1506652</v>
      </c>
      <c r="D232" s="61">
        <f t="shared" si="15"/>
        <v>1</v>
      </c>
      <c r="E232" s="64">
        <f t="shared" si="17"/>
        <v>150.66519173319364</v>
      </c>
      <c r="F232" s="62" t="str">
        <f t="shared" si="18"/>
        <v/>
      </c>
    </row>
    <row r="233" spans="1:6">
      <c r="A233" s="60">
        <v>22800</v>
      </c>
      <c r="B233" s="60">
        <f t="shared" si="16"/>
        <v>1509967</v>
      </c>
      <c r="C233" s="60">
        <f t="shared" si="19"/>
        <v>1509967</v>
      </c>
      <c r="D233" s="61">
        <f t="shared" si="15"/>
        <v>1</v>
      </c>
      <c r="E233" s="64">
        <f t="shared" si="17"/>
        <v>150.99668870541498</v>
      </c>
      <c r="F233" s="62" t="str">
        <f t="shared" si="18"/>
        <v/>
      </c>
    </row>
    <row r="234" spans="1:6">
      <c r="A234" s="60">
        <v>22900</v>
      </c>
      <c r="B234" s="60">
        <f t="shared" si="16"/>
        <v>1513275</v>
      </c>
      <c r="C234" s="60">
        <f t="shared" si="19"/>
        <v>1513275</v>
      </c>
      <c r="D234" s="61">
        <f t="shared" si="15"/>
        <v>1</v>
      </c>
      <c r="E234" s="64">
        <f t="shared" si="17"/>
        <v>151.32745950421557</v>
      </c>
      <c r="F234" s="62" t="str">
        <f t="shared" si="18"/>
        <v/>
      </c>
    </row>
    <row r="235" spans="1:6">
      <c r="A235" s="60">
        <v>23000</v>
      </c>
      <c r="B235" s="60">
        <f t="shared" si="16"/>
        <v>1516575</v>
      </c>
      <c r="C235" s="60">
        <f t="shared" si="19"/>
        <v>1516575</v>
      </c>
      <c r="D235" s="61">
        <f t="shared" si="15"/>
        <v>1</v>
      </c>
      <c r="E235" s="64">
        <f t="shared" si="17"/>
        <v>151.65750888103102</v>
      </c>
      <c r="F235" s="62" t="str">
        <f t="shared" si="18"/>
        <v/>
      </c>
    </row>
    <row r="236" spans="1:6">
      <c r="A236" s="60">
        <v>23100</v>
      </c>
      <c r="B236" s="60">
        <f t="shared" si="16"/>
        <v>1519868</v>
      </c>
      <c r="C236" s="60">
        <f t="shared" si="19"/>
        <v>1519868</v>
      </c>
      <c r="D236" s="61">
        <f t="shared" si="15"/>
        <v>1</v>
      </c>
      <c r="E236" s="64">
        <f t="shared" si="17"/>
        <v>151.98684153570665</v>
      </c>
      <c r="F236" s="62" t="str">
        <f t="shared" si="18"/>
        <v/>
      </c>
    </row>
    <row r="237" spans="1:6">
      <c r="A237" s="60">
        <v>23200</v>
      </c>
      <c r="B237" s="60">
        <f t="shared" si="16"/>
        <v>1523155</v>
      </c>
      <c r="C237" s="60">
        <f t="shared" si="19"/>
        <v>1523155</v>
      </c>
      <c r="D237" s="61">
        <f t="shared" si="15"/>
        <v>1</v>
      </c>
      <c r="E237" s="64">
        <f t="shared" si="17"/>
        <v>152.31546211727817</v>
      </c>
      <c r="F237" s="62" t="str">
        <f t="shared" si="18"/>
        <v/>
      </c>
    </row>
    <row r="238" spans="1:6">
      <c r="A238" s="60">
        <v>23300</v>
      </c>
      <c r="B238" s="60">
        <f t="shared" si="16"/>
        <v>1526434</v>
      </c>
      <c r="C238" s="60">
        <f t="shared" si="19"/>
        <v>1526434</v>
      </c>
      <c r="D238" s="61">
        <f t="shared" si="15"/>
        <v>1</v>
      </c>
      <c r="E238" s="64">
        <f t="shared" si="17"/>
        <v>152.64337522473747</v>
      </c>
      <c r="F238" s="62" t="str">
        <f t="shared" si="18"/>
        <v/>
      </c>
    </row>
    <row r="239" spans="1:6">
      <c r="A239" s="60">
        <v>23400</v>
      </c>
      <c r="B239" s="60">
        <f t="shared" si="16"/>
        <v>1529706</v>
      </c>
      <c r="C239" s="60">
        <f t="shared" si="19"/>
        <v>1529706</v>
      </c>
      <c r="D239" s="61">
        <f t="shared" si="15"/>
        <v>1</v>
      </c>
      <c r="E239" s="64">
        <f t="shared" si="17"/>
        <v>152.97058540778355</v>
      </c>
      <c r="F239" s="62" t="str">
        <f t="shared" si="18"/>
        <v/>
      </c>
    </row>
    <row r="240" spans="1:6">
      <c r="A240" s="60">
        <v>23500</v>
      </c>
      <c r="B240" s="60">
        <f t="shared" si="16"/>
        <v>1532971</v>
      </c>
      <c r="C240" s="60">
        <f t="shared" si="19"/>
        <v>1532971</v>
      </c>
      <c r="D240" s="61">
        <f t="shared" si="15"/>
        <v>1</v>
      </c>
      <c r="E240" s="64">
        <f t="shared" si="17"/>
        <v>153.29709716755892</v>
      </c>
      <c r="F240" s="62" t="str">
        <f t="shared" si="18"/>
        <v/>
      </c>
    </row>
    <row r="241" spans="1:6">
      <c r="A241" s="60">
        <v>23600</v>
      </c>
      <c r="B241" s="60">
        <f t="shared" si="16"/>
        <v>1536229</v>
      </c>
      <c r="C241" s="60">
        <f t="shared" si="19"/>
        <v>1536229</v>
      </c>
      <c r="D241" s="61">
        <f t="shared" si="15"/>
        <v>1</v>
      </c>
      <c r="E241" s="64">
        <f t="shared" si="17"/>
        <v>153.62291495737216</v>
      </c>
      <c r="F241" s="62" t="str">
        <f t="shared" si="18"/>
        <v/>
      </c>
    </row>
    <row r="242" spans="1:6">
      <c r="A242" s="60">
        <v>23700</v>
      </c>
      <c r="B242" s="60">
        <f t="shared" si="16"/>
        <v>1539480</v>
      </c>
      <c r="C242" s="60">
        <f t="shared" si="19"/>
        <v>1539480</v>
      </c>
      <c r="D242" s="61">
        <f t="shared" si="15"/>
        <v>1</v>
      </c>
      <c r="E242" s="64">
        <f t="shared" si="17"/>
        <v>153.94804318340653</v>
      </c>
      <c r="F242" s="62" t="str">
        <f t="shared" si="18"/>
        <v/>
      </c>
    </row>
    <row r="243" spans="1:6">
      <c r="A243" s="60">
        <v>23800</v>
      </c>
      <c r="B243" s="60">
        <f t="shared" si="16"/>
        <v>1542725</v>
      </c>
      <c r="C243" s="60">
        <f t="shared" si="19"/>
        <v>1542725</v>
      </c>
      <c r="D243" s="61">
        <f t="shared" si="15"/>
        <v>1</v>
      </c>
      <c r="E243" s="64">
        <f t="shared" si="17"/>
        <v>154.27248620541513</v>
      </c>
      <c r="F243" s="62" t="str">
        <f t="shared" si="18"/>
        <v/>
      </c>
    </row>
    <row r="244" spans="1:6">
      <c r="A244" s="60">
        <v>23900</v>
      </c>
      <c r="B244" s="60">
        <f t="shared" si="16"/>
        <v>1545962</v>
      </c>
      <c r="C244" s="60">
        <f t="shared" si="19"/>
        <v>1545962</v>
      </c>
      <c r="D244" s="61">
        <f t="shared" si="15"/>
        <v>1</v>
      </c>
      <c r="E244" s="64">
        <f t="shared" si="17"/>
        <v>154.59624833740307</v>
      </c>
      <c r="F244" s="62" t="str">
        <f t="shared" si="18"/>
        <v/>
      </c>
    </row>
    <row r="245" spans="1:6">
      <c r="A245" s="60">
        <v>24000</v>
      </c>
      <c r="B245" s="60">
        <f t="shared" si="16"/>
        <v>1549193</v>
      </c>
      <c r="C245" s="60">
        <f t="shared" si="19"/>
        <v>1549193</v>
      </c>
      <c r="D245" s="61">
        <f t="shared" si="15"/>
        <v>1</v>
      </c>
      <c r="E245" s="64">
        <f t="shared" si="17"/>
        <v>154.91933384829667</v>
      </c>
      <c r="F245" s="62" t="str">
        <f t="shared" si="18"/>
        <v/>
      </c>
    </row>
    <row r="246" spans="1:6">
      <c r="A246" s="60">
        <v>24100</v>
      </c>
      <c r="B246" s="60">
        <f t="shared" si="16"/>
        <v>1552417</v>
      </c>
      <c r="C246" s="60">
        <f t="shared" si="19"/>
        <v>1552417</v>
      </c>
      <c r="D246" s="61">
        <f t="shared" si="15"/>
        <v>1</v>
      </c>
      <c r="E246" s="64">
        <f t="shared" si="17"/>
        <v>155.24174696260025</v>
      </c>
      <c r="F246" s="62" t="str">
        <f t="shared" si="18"/>
        <v/>
      </c>
    </row>
    <row r="247" spans="1:6">
      <c r="A247" s="60">
        <v>24200</v>
      </c>
      <c r="B247" s="60">
        <f t="shared" si="16"/>
        <v>1555635</v>
      </c>
      <c r="C247" s="60">
        <f t="shared" si="19"/>
        <v>1555635</v>
      </c>
      <c r="D247" s="61">
        <f t="shared" si="15"/>
        <v>1</v>
      </c>
      <c r="E247" s="64">
        <f t="shared" si="17"/>
        <v>155.56349186104046</v>
      </c>
      <c r="F247" s="62" t="str">
        <f t="shared" si="18"/>
        <v/>
      </c>
    </row>
    <row r="248" spans="1:6">
      <c r="A248" s="60">
        <v>24300</v>
      </c>
      <c r="B248" s="60">
        <f t="shared" si="16"/>
        <v>1558846</v>
      </c>
      <c r="C248" s="60">
        <f t="shared" si="19"/>
        <v>1558846</v>
      </c>
      <c r="D248" s="61">
        <f t="shared" si="15"/>
        <v>1</v>
      </c>
      <c r="E248" s="64">
        <f t="shared" si="17"/>
        <v>155.88457268119896</v>
      </c>
      <c r="F248" s="62" t="str">
        <f t="shared" si="18"/>
        <v/>
      </c>
    </row>
    <row r="249" spans="1:6">
      <c r="A249" s="60">
        <v>24400</v>
      </c>
      <c r="B249" s="60">
        <f t="shared" si="16"/>
        <v>1562050</v>
      </c>
      <c r="C249" s="60">
        <f t="shared" si="19"/>
        <v>1562050</v>
      </c>
      <c r="D249" s="61">
        <f t="shared" si="15"/>
        <v>1</v>
      </c>
      <c r="E249" s="64">
        <f t="shared" si="17"/>
        <v>156.20499351813308</v>
      </c>
      <c r="F249" s="62" t="str">
        <f t="shared" si="18"/>
        <v/>
      </c>
    </row>
    <row r="250" spans="1:6">
      <c r="A250" s="60">
        <v>24500</v>
      </c>
      <c r="B250" s="60">
        <f t="shared" si="16"/>
        <v>1565248</v>
      </c>
      <c r="C250" s="60">
        <f t="shared" si="19"/>
        <v>1565248</v>
      </c>
      <c r="D250" s="61">
        <f t="shared" si="15"/>
        <v>1</v>
      </c>
      <c r="E250" s="64">
        <f t="shared" si="17"/>
        <v>156.52475842498527</v>
      </c>
      <c r="F250" s="62" t="str">
        <f t="shared" si="18"/>
        <v/>
      </c>
    </row>
    <row r="251" spans="1:6">
      <c r="A251" s="60">
        <v>24600</v>
      </c>
      <c r="B251" s="60">
        <f t="shared" si="16"/>
        <v>1568439</v>
      </c>
      <c r="C251" s="60">
        <f t="shared" si="19"/>
        <v>1568439</v>
      </c>
      <c r="D251" s="61">
        <f t="shared" si="15"/>
        <v>1</v>
      </c>
      <c r="E251" s="64">
        <f t="shared" si="17"/>
        <v>156.84387141358121</v>
      </c>
      <c r="F251" s="62" t="str">
        <f t="shared" si="18"/>
        <v/>
      </c>
    </row>
    <row r="252" spans="1:6">
      <c r="A252" s="60">
        <v>24700</v>
      </c>
      <c r="B252" s="60">
        <f t="shared" si="16"/>
        <v>1571623</v>
      </c>
      <c r="C252" s="60">
        <f t="shared" si="19"/>
        <v>1571623</v>
      </c>
      <c r="D252" s="61">
        <f t="shared" si="15"/>
        <v>1</v>
      </c>
      <c r="E252" s="64">
        <f t="shared" si="17"/>
        <v>157.16233645501711</v>
      </c>
      <c r="F252" s="62" t="str">
        <f t="shared" si="18"/>
        <v/>
      </c>
    </row>
    <row r="253" spans="1:6">
      <c r="A253" s="60">
        <v>24800</v>
      </c>
      <c r="B253" s="60">
        <f t="shared" si="16"/>
        <v>1574802</v>
      </c>
      <c r="C253" s="60">
        <f t="shared" si="19"/>
        <v>1574802</v>
      </c>
      <c r="D253" s="61">
        <f t="shared" si="15"/>
        <v>1</v>
      </c>
      <c r="E253" s="64">
        <f t="shared" si="17"/>
        <v>157.48015748023622</v>
      </c>
      <c r="F253" s="62" t="str">
        <f t="shared" si="18"/>
        <v/>
      </c>
    </row>
    <row r="254" spans="1:6">
      <c r="A254" s="60">
        <v>24900</v>
      </c>
      <c r="B254" s="60">
        <f t="shared" si="16"/>
        <v>1577973</v>
      </c>
      <c r="C254" s="60">
        <f t="shared" si="19"/>
        <v>1577973</v>
      </c>
      <c r="D254" s="61">
        <f t="shared" si="15"/>
        <v>1</v>
      </c>
      <c r="E254" s="64">
        <f t="shared" si="17"/>
        <v>157.79733838059499</v>
      </c>
      <c r="F254" s="62" t="str">
        <f t="shared" si="18"/>
        <v/>
      </c>
    </row>
    <row r="255" spans="1:6">
      <c r="A255" s="60">
        <v>25000</v>
      </c>
      <c r="B255" s="60">
        <f t="shared" si="16"/>
        <v>1581139</v>
      </c>
      <c r="C255" s="60">
        <f t="shared" si="19"/>
        <v>1581139</v>
      </c>
      <c r="D255" s="61">
        <f t="shared" si="15"/>
        <v>1</v>
      </c>
      <c r="E255" s="64">
        <f t="shared" si="17"/>
        <v>158.11388300841898</v>
      </c>
      <c r="F255" s="62" t="str">
        <f t="shared" si="18"/>
        <v/>
      </c>
    </row>
    <row r="256" spans="1:6">
      <c r="A256" s="60">
        <v>25100</v>
      </c>
      <c r="B256" s="60">
        <f t="shared" si="16"/>
        <v>1584298</v>
      </c>
      <c r="C256" s="60">
        <f t="shared" si="19"/>
        <v>1584298</v>
      </c>
      <c r="D256" s="61">
        <f t="shared" si="15"/>
        <v>1</v>
      </c>
      <c r="E256" s="64">
        <f t="shared" si="17"/>
        <v>158.42979517754858</v>
      </c>
      <c r="F256" s="62" t="str">
        <f t="shared" si="18"/>
        <v/>
      </c>
    </row>
    <row r="257" spans="1:6">
      <c r="A257" s="60">
        <v>25200</v>
      </c>
      <c r="B257" s="60">
        <f t="shared" si="16"/>
        <v>1587451</v>
      </c>
      <c r="C257" s="60">
        <f t="shared" si="19"/>
        <v>1587451</v>
      </c>
      <c r="D257" s="61">
        <f t="shared" si="15"/>
        <v>1</v>
      </c>
      <c r="E257" s="64">
        <f t="shared" si="17"/>
        <v>158.74507866387543</v>
      </c>
      <c r="F257" s="62" t="str">
        <f t="shared" si="18"/>
        <v/>
      </c>
    </row>
    <row r="258" spans="1:6">
      <c r="A258" s="60">
        <v>25300</v>
      </c>
      <c r="B258" s="60">
        <f t="shared" si="16"/>
        <v>1590597</v>
      </c>
      <c r="C258" s="60">
        <f t="shared" si="19"/>
        <v>1590597</v>
      </c>
      <c r="D258" s="61">
        <f t="shared" si="15"/>
        <v>1</v>
      </c>
      <c r="E258" s="64">
        <f t="shared" si="17"/>
        <v>159.05973720586866</v>
      </c>
      <c r="F258" s="62" t="str">
        <f t="shared" si="18"/>
        <v/>
      </c>
    </row>
    <row r="259" spans="1:6">
      <c r="A259" s="60">
        <v>25400</v>
      </c>
      <c r="B259" s="60">
        <f t="shared" si="16"/>
        <v>1593738</v>
      </c>
      <c r="C259" s="60">
        <f t="shared" si="19"/>
        <v>1593738</v>
      </c>
      <c r="D259" s="61">
        <f t="shared" si="15"/>
        <v>1</v>
      </c>
      <c r="E259" s="64">
        <f t="shared" si="17"/>
        <v>159.37377450509229</v>
      </c>
      <c r="F259" s="62" t="str">
        <f t="shared" si="18"/>
        <v/>
      </c>
    </row>
    <row r="260" spans="1:6">
      <c r="A260" s="60">
        <v>25500</v>
      </c>
      <c r="B260" s="60">
        <f t="shared" si="16"/>
        <v>1596872</v>
      </c>
      <c r="C260" s="60">
        <f t="shared" si="19"/>
        <v>1596872</v>
      </c>
      <c r="D260" s="61">
        <f t="shared" si="15"/>
        <v>1</v>
      </c>
      <c r="E260" s="64">
        <f t="shared" si="17"/>
        <v>159.68719422671313</v>
      </c>
      <c r="F260" s="62" t="str">
        <f t="shared" si="18"/>
        <v/>
      </c>
    </row>
    <row r="261" spans="1:6">
      <c r="A261" s="60">
        <v>25600</v>
      </c>
      <c r="B261" s="60">
        <f t="shared" si="16"/>
        <v>1600000</v>
      </c>
      <c r="C261" s="60">
        <f t="shared" si="19"/>
        <v>1600000</v>
      </c>
      <c r="D261" s="61">
        <f t="shared" ref="D261:D324" si="20">(A261-INDEX(兵力区间,MATCH(A261,兵力区间,1)))/(INDEX(兵力区间,MATCH(A261,兵力区间,1)+1)-INDEX(兵力区间,MATCH(A261,兵力区间,1)))*((INDEX(兵力调节,MATCH(A261,兵力区间,1)+1,2)-INDEX(兵力调节,MATCH(A261,兵力区间,1),2)))+INDEX(兵力调节,MATCH(A261,兵力区间,1),2)</f>
        <v>1</v>
      </c>
      <c r="E261" s="64">
        <f t="shared" si="17"/>
        <v>160</v>
      </c>
      <c r="F261" s="62" t="str">
        <f t="shared" si="18"/>
        <v/>
      </c>
    </row>
    <row r="262" spans="1:6">
      <c r="A262" s="60">
        <v>25700</v>
      </c>
      <c r="B262" s="60">
        <f t="shared" si="16"/>
        <v>1603122</v>
      </c>
      <c r="C262" s="60">
        <f t="shared" si="19"/>
        <v>1603122</v>
      </c>
      <c r="D262" s="61">
        <f t="shared" si="20"/>
        <v>1</v>
      </c>
      <c r="E262" s="64">
        <f t="shared" si="17"/>
        <v>160.31219541881399</v>
      </c>
      <c r="F262" s="62" t="str">
        <f t="shared" si="18"/>
        <v/>
      </c>
    </row>
    <row r="263" spans="1:6">
      <c r="A263" s="60">
        <v>25800</v>
      </c>
      <c r="B263" s="60">
        <f t="shared" ref="B263:B326" si="21">ROUND(D263*E263*10000,0)</f>
        <v>1606238</v>
      </c>
      <c r="C263" s="60">
        <f t="shared" si="19"/>
        <v>1606238</v>
      </c>
      <c r="D263" s="61">
        <f t="shared" si="20"/>
        <v>1</v>
      </c>
      <c r="E263" s="64">
        <f t="shared" ref="E263:E326" si="22">A263^0.5</f>
        <v>160.62378404209011</v>
      </c>
      <c r="F263" s="62" t="str">
        <f t="shared" si="18"/>
        <v/>
      </c>
    </row>
    <row r="264" spans="1:6">
      <c r="A264" s="60">
        <v>25900</v>
      </c>
      <c r="B264" s="60">
        <f t="shared" si="21"/>
        <v>1609348</v>
      </c>
      <c r="C264" s="60">
        <f t="shared" si="19"/>
        <v>1609348</v>
      </c>
      <c r="D264" s="61">
        <f t="shared" si="20"/>
        <v>1</v>
      </c>
      <c r="E264" s="64">
        <f t="shared" si="22"/>
        <v>160.93476939431082</v>
      </c>
      <c r="F264" s="62" t="str">
        <f t="shared" ref="F264:F327" si="23">IF(B264&lt;B263,1,"")</f>
        <v/>
      </c>
    </row>
    <row r="265" spans="1:6">
      <c r="A265" s="60">
        <v>26000</v>
      </c>
      <c r="B265" s="60">
        <f t="shared" si="21"/>
        <v>1612452</v>
      </c>
      <c r="C265" s="60">
        <f t="shared" si="19"/>
        <v>1612452</v>
      </c>
      <c r="D265" s="61">
        <f t="shared" si="20"/>
        <v>1</v>
      </c>
      <c r="E265" s="64">
        <f t="shared" si="22"/>
        <v>161.24515496597098</v>
      </c>
      <c r="F265" s="62" t="str">
        <f t="shared" si="23"/>
        <v/>
      </c>
    </row>
    <row r="266" spans="1:6">
      <c r="A266" s="60">
        <v>26100</v>
      </c>
      <c r="B266" s="60">
        <f t="shared" si="21"/>
        <v>1615549</v>
      </c>
      <c r="C266" s="60">
        <f t="shared" si="19"/>
        <v>1615549</v>
      </c>
      <c r="D266" s="61">
        <f t="shared" si="20"/>
        <v>1</v>
      </c>
      <c r="E266" s="64">
        <f t="shared" si="22"/>
        <v>161.55494421403512</v>
      </c>
      <c r="F266" s="62" t="str">
        <f t="shared" si="23"/>
        <v/>
      </c>
    </row>
    <row r="267" spans="1:6">
      <c r="A267" s="60">
        <v>26200</v>
      </c>
      <c r="B267" s="60">
        <f t="shared" si="21"/>
        <v>1618641</v>
      </c>
      <c r="C267" s="60">
        <f t="shared" ref="C267:C330" si="24">ROUND(D267*E267*10000,0)</f>
        <v>1618641</v>
      </c>
      <c r="D267" s="61">
        <f t="shared" si="20"/>
        <v>1</v>
      </c>
      <c r="E267" s="64">
        <f t="shared" si="22"/>
        <v>161.86414056238647</v>
      </c>
      <c r="F267" s="62" t="str">
        <f t="shared" si="23"/>
        <v/>
      </c>
    </row>
    <row r="268" spans="1:6">
      <c r="A268" s="60">
        <v>26300</v>
      </c>
      <c r="B268" s="60">
        <f t="shared" si="21"/>
        <v>1621727</v>
      </c>
      <c r="C268" s="60">
        <f t="shared" si="24"/>
        <v>1621727</v>
      </c>
      <c r="D268" s="61">
        <f t="shared" si="20"/>
        <v>1</v>
      </c>
      <c r="E268" s="64">
        <f t="shared" si="22"/>
        <v>162.17274740226856</v>
      </c>
      <c r="F268" s="62" t="str">
        <f t="shared" si="23"/>
        <v/>
      </c>
    </row>
    <row r="269" spans="1:6">
      <c r="A269" s="60">
        <v>26400</v>
      </c>
      <c r="B269" s="60">
        <f t="shared" si="21"/>
        <v>1624808</v>
      </c>
      <c r="C269" s="60">
        <f t="shared" si="24"/>
        <v>1624808</v>
      </c>
      <c r="D269" s="61">
        <f t="shared" si="20"/>
        <v>1</v>
      </c>
      <c r="E269" s="64">
        <f t="shared" si="22"/>
        <v>162.48076809271922</v>
      </c>
      <c r="F269" s="62" t="str">
        <f t="shared" si="23"/>
        <v/>
      </c>
    </row>
    <row r="270" spans="1:6">
      <c r="A270" s="60">
        <v>26500</v>
      </c>
      <c r="B270" s="60">
        <f t="shared" si="21"/>
        <v>1627882</v>
      </c>
      <c r="C270" s="60">
        <f t="shared" si="24"/>
        <v>1627882</v>
      </c>
      <c r="D270" s="61">
        <f t="shared" si="20"/>
        <v>1</v>
      </c>
      <c r="E270" s="64">
        <f t="shared" si="22"/>
        <v>162.78820596099706</v>
      </c>
      <c r="F270" s="62" t="str">
        <f t="shared" si="23"/>
        <v/>
      </c>
    </row>
    <row r="271" spans="1:6">
      <c r="A271" s="60">
        <v>26600</v>
      </c>
      <c r="B271" s="60">
        <f t="shared" si="21"/>
        <v>1630951</v>
      </c>
      <c r="C271" s="60">
        <f t="shared" si="24"/>
        <v>1630951</v>
      </c>
      <c r="D271" s="61">
        <f t="shared" si="20"/>
        <v>1</v>
      </c>
      <c r="E271" s="64">
        <f t="shared" si="22"/>
        <v>163.0950643030009</v>
      </c>
      <c r="F271" s="62" t="str">
        <f t="shared" si="23"/>
        <v/>
      </c>
    </row>
    <row r="272" spans="1:6">
      <c r="A272" s="60">
        <v>26700</v>
      </c>
      <c r="B272" s="60">
        <f t="shared" si="21"/>
        <v>1634013</v>
      </c>
      <c r="C272" s="60">
        <f t="shared" si="24"/>
        <v>1634013</v>
      </c>
      <c r="D272" s="61">
        <f t="shared" si="20"/>
        <v>1</v>
      </c>
      <c r="E272" s="64">
        <f t="shared" si="22"/>
        <v>163.40134638368193</v>
      </c>
      <c r="F272" s="62" t="str">
        <f t="shared" si="23"/>
        <v/>
      </c>
    </row>
    <row r="273" spans="1:6">
      <c r="A273" s="60">
        <v>26800</v>
      </c>
      <c r="B273" s="60">
        <f t="shared" si="21"/>
        <v>1637071</v>
      </c>
      <c r="C273" s="60">
        <f t="shared" si="24"/>
        <v>1637071</v>
      </c>
      <c r="D273" s="61">
        <f t="shared" si="20"/>
        <v>1</v>
      </c>
      <c r="E273" s="64">
        <f t="shared" si="22"/>
        <v>163.70705543744899</v>
      </c>
      <c r="F273" s="62" t="str">
        <f t="shared" si="23"/>
        <v/>
      </c>
    </row>
    <row r="274" spans="1:6">
      <c r="A274" s="60">
        <v>26900</v>
      </c>
      <c r="B274" s="60">
        <f t="shared" si="21"/>
        <v>1640122</v>
      </c>
      <c r="C274" s="60">
        <f t="shared" si="24"/>
        <v>1640122</v>
      </c>
      <c r="D274" s="61">
        <f t="shared" si="20"/>
        <v>1</v>
      </c>
      <c r="E274" s="64">
        <f t="shared" si="22"/>
        <v>164.01219466856725</v>
      </c>
      <c r="F274" s="62" t="str">
        <f t="shared" si="23"/>
        <v/>
      </c>
    </row>
    <row r="275" spans="1:6">
      <c r="A275" s="60">
        <v>27000</v>
      </c>
      <c r="B275" s="60">
        <f t="shared" si="21"/>
        <v>1643168</v>
      </c>
      <c r="C275" s="60">
        <f t="shared" si="24"/>
        <v>1643168</v>
      </c>
      <c r="D275" s="61">
        <f t="shared" si="20"/>
        <v>1</v>
      </c>
      <c r="E275" s="64">
        <f t="shared" si="22"/>
        <v>164.31676725154983</v>
      </c>
      <c r="F275" s="62" t="str">
        <f t="shared" si="23"/>
        <v/>
      </c>
    </row>
    <row r="276" spans="1:6">
      <c r="A276" s="60">
        <v>27100</v>
      </c>
      <c r="B276" s="60">
        <f t="shared" si="21"/>
        <v>1646208</v>
      </c>
      <c r="C276" s="60">
        <f t="shared" si="24"/>
        <v>1646208</v>
      </c>
      <c r="D276" s="61">
        <f t="shared" si="20"/>
        <v>1</v>
      </c>
      <c r="E276" s="64">
        <f t="shared" si="22"/>
        <v>164.62077633154328</v>
      </c>
      <c r="F276" s="62" t="str">
        <f t="shared" si="23"/>
        <v/>
      </c>
    </row>
    <row r="277" spans="1:6">
      <c r="A277" s="60">
        <v>27200</v>
      </c>
      <c r="B277" s="60">
        <f t="shared" si="21"/>
        <v>1649242</v>
      </c>
      <c r="C277" s="60">
        <f t="shared" si="24"/>
        <v>1649242</v>
      </c>
      <c r="D277" s="61">
        <f t="shared" si="20"/>
        <v>1</v>
      </c>
      <c r="E277" s="64">
        <f t="shared" si="22"/>
        <v>164.92422502470643</v>
      </c>
      <c r="F277" s="62" t="str">
        <f t="shared" si="23"/>
        <v/>
      </c>
    </row>
    <row r="278" spans="1:6">
      <c r="A278" s="60">
        <v>27300</v>
      </c>
      <c r="B278" s="60">
        <f t="shared" si="21"/>
        <v>1652271</v>
      </c>
      <c r="C278" s="60">
        <f t="shared" si="24"/>
        <v>1652271</v>
      </c>
      <c r="D278" s="61">
        <f t="shared" si="20"/>
        <v>1</v>
      </c>
      <c r="E278" s="64">
        <f t="shared" si="22"/>
        <v>165.22711641858305</v>
      </c>
      <c r="F278" s="62" t="str">
        <f t="shared" si="23"/>
        <v/>
      </c>
    </row>
    <row r="279" spans="1:6">
      <c r="A279" s="60">
        <v>27400</v>
      </c>
      <c r="B279" s="60">
        <f t="shared" si="21"/>
        <v>1655295</v>
      </c>
      <c r="C279" s="60">
        <f t="shared" si="24"/>
        <v>1655295</v>
      </c>
      <c r="D279" s="61">
        <f t="shared" si="20"/>
        <v>1</v>
      </c>
      <c r="E279" s="64">
        <f t="shared" si="22"/>
        <v>165.5294535724685</v>
      </c>
      <c r="F279" s="62" t="str">
        <f t="shared" si="23"/>
        <v/>
      </c>
    </row>
    <row r="280" spans="1:6">
      <c r="A280" s="60">
        <v>27500</v>
      </c>
      <c r="B280" s="60">
        <f t="shared" si="21"/>
        <v>1658312</v>
      </c>
      <c r="C280" s="60">
        <f t="shared" si="24"/>
        <v>1658312</v>
      </c>
      <c r="D280" s="61">
        <f t="shared" si="20"/>
        <v>1</v>
      </c>
      <c r="E280" s="64">
        <f t="shared" si="22"/>
        <v>165.83123951777</v>
      </c>
      <c r="F280" s="62" t="str">
        <f t="shared" si="23"/>
        <v/>
      </c>
    </row>
    <row r="281" spans="1:6">
      <c r="A281" s="60">
        <v>27600</v>
      </c>
      <c r="B281" s="60">
        <f t="shared" si="21"/>
        <v>1661325</v>
      </c>
      <c r="C281" s="60">
        <f t="shared" si="24"/>
        <v>1661325</v>
      </c>
      <c r="D281" s="61">
        <f t="shared" si="20"/>
        <v>1</v>
      </c>
      <c r="E281" s="64">
        <f t="shared" si="22"/>
        <v>166.13247725836149</v>
      </c>
      <c r="F281" s="62" t="str">
        <f t="shared" si="23"/>
        <v/>
      </c>
    </row>
    <row r="282" spans="1:6">
      <c r="A282" s="60">
        <v>27700</v>
      </c>
      <c r="B282" s="60">
        <f t="shared" si="21"/>
        <v>1664332</v>
      </c>
      <c r="C282" s="60">
        <f t="shared" si="24"/>
        <v>1664332</v>
      </c>
      <c r="D282" s="61">
        <f t="shared" si="20"/>
        <v>1</v>
      </c>
      <c r="E282" s="64">
        <f t="shared" si="22"/>
        <v>166.43316977093238</v>
      </c>
      <c r="F282" s="62" t="str">
        <f t="shared" si="23"/>
        <v/>
      </c>
    </row>
    <row r="283" spans="1:6">
      <c r="A283" s="60">
        <v>27800</v>
      </c>
      <c r="B283" s="60">
        <f t="shared" si="21"/>
        <v>1667333</v>
      </c>
      <c r="C283" s="60">
        <f t="shared" si="24"/>
        <v>1667333</v>
      </c>
      <c r="D283" s="61">
        <f t="shared" si="20"/>
        <v>1</v>
      </c>
      <c r="E283" s="64">
        <f t="shared" si="22"/>
        <v>166.73332000533065</v>
      </c>
      <c r="F283" s="62" t="str">
        <f t="shared" si="23"/>
        <v/>
      </c>
    </row>
    <row r="284" spans="1:6">
      <c r="A284" s="60">
        <v>27900</v>
      </c>
      <c r="B284" s="60">
        <f t="shared" si="21"/>
        <v>1670329</v>
      </c>
      <c r="C284" s="60">
        <f t="shared" si="24"/>
        <v>1670329</v>
      </c>
      <c r="D284" s="61">
        <f t="shared" si="20"/>
        <v>1</v>
      </c>
      <c r="E284" s="64">
        <f t="shared" si="22"/>
        <v>167.03293088490065</v>
      </c>
      <c r="F284" s="62" t="str">
        <f t="shared" si="23"/>
        <v/>
      </c>
    </row>
    <row r="285" spans="1:6">
      <c r="A285" s="60">
        <v>28000</v>
      </c>
      <c r="B285" s="60">
        <f t="shared" si="21"/>
        <v>1673320</v>
      </c>
      <c r="C285" s="60">
        <f t="shared" si="24"/>
        <v>1673320</v>
      </c>
      <c r="D285" s="61">
        <f t="shared" si="20"/>
        <v>1</v>
      </c>
      <c r="E285" s="64">
        <f t="shared" si="22"/>
        <v>167.33200530681512</v>
      </c>
      <c r="F285" s="62" t="str">
        <f t="shared" si="23"/>
        <v/>
      </c>
    </row>
    <row r="286" spans="1:6">
      <c r="A286" s="60">
        <v>28100</v>
      </c>
      <c r="B286" s="60">
        <f t="shared" si="21"/>
        <v>1676305</v>
      </c>
      <c r="C286" s="60">
        <f t="shared" si="24"/>
        <v>1676305</v>
      </c>
      <c r="D286" s="61">
        <f t="shared" si="20"/>
        <v>1</v>
      </c>
      <c r="E286" s="64">
        <f t="shared" si="22"/>
        <v>167.6305461424021</v>
      </c>
      <c r="F286" s="62" t="str">
        <f t="shared" si="23"/>
        <v/>
      </c>
    </row>
    <row r="287" spans="1:6">
      <c r="A287" s="60">
        <v>28200</v>
      </c>
      <c r="B287" s="60">
        <f t="shared" si="21"/>
        <v>1679286</v>
      </c>
      <c r="C287" s="60">
        <f t="shared" si="24"/>
        <v>1679286</v>
      </c>
      <c r="D287" s="61">
        <f t="shared" si="20"/>
        <v>1</v>
      </c>
      <c r="E287" s="64">
        <f t="shared" si="22"/>
        <v>167.92855623746667</v>
      </c>
      <c r="F287" s="62" t="str">
        <f t="shared" si="23"/>
        <v/>
      </c>
    </row>
    <row r="288" spans="1:6">
      <c r="A288" s="60">
        <v>28300</v>
      </c>
      <c r="B288" s="60">
        <f t="shared" si="21"/>
        <v>1682260</v>
      </c>
      <c r="C288" s="60">
        <f t="shared" si="24"/>
        <v>1682260</v>
      </c>
      <c r="D288" s="61">
        <f t="shared" si="20"/>
        <v>1</v>
      </c>
      <c r="E288" s="64">
        <f t="shared" si="22"/>
        <v>168.22603841260721</v>
      </c>
      <c r="F288" s="62" t="str">
        <f t="shared" si="23"/>
        <v/>
      </c>
    </row>
    <row r="289" spans="1:6">
      <c r="A289" s="60">
        <v>28400</v>
      </c>
      <c r="B289" s="60">
        <f t="shared" si="21"/>
        <v>1685230</v>
      </c>
      <c r="C289" s="60">
        <f t="shared" si="24"/>
        <v>1685230</v>
      </c>
      <c r="D289" s="61">
        <f t="shared" si="20"/>
        <v>1</v>
      </c>
      <c r="E289" s="64">
        <f t="shared" si="22"/>
        <v>168.52299546352717</v>
      </c>
      <c r="F289" s="62" t="str">
        <f t="shared" si="23"/>
        <v/>
      </c>
    </row>
    <row r="290" spans="1:6">
      <c r="A290" s="60">
        <v>28500</v>
      </c>
      <c r="B290" s="60">
        <f t="shared" si="21"/>
        <v>1688194</v>
      </c>
      <c r="C290" s="60">
        <f t="shared" si="24"/>
        <v>1688194</v>
      </c>
      <c r="D290" s="61">
        <f t="shared" si="20"/>
        <v>1</v>
      </c>
      <c r="E290" s="64">
        <f t="shared" si="22"/>
        <v>168.81943016134133</v>
      </c>
      <c r="F290" s="62" t="str">
        <f t="shared" si="23"/>
        <v/>
      </c>
    </row>
    <row r="291" spans="1:6">
      <c r="A291" s="60">
        <v>28600</v>
      </c>
      <c r="B291" s="60">
        <f t="shared" si="21"/>
        <v>1691153</v>
      </c>
      <c r="C291" s="60">
        <f t="shared" si="24"/>
        <v>1691153</v>
      </c>
      <c r="D291" s="61">
        <f t="shared" si="20"/>
        <v>1</v>
      </c>
      <c r="E291" s="64">
        <f t="shared" si="22"/>
        <v>169.11534525287763</v>
      </c>
      <c r="F291" s="62" t="str">
        <f t="shared" si="23"/>
        <v/>
      </c>
    </row>
    <row r="292" spans="1:6">
      <c r="A292" s="60">
        <v>28700</v>
      </c>
      <c r="B292" s="60">
        <f t="shared" si="21"/>
        <v>1694107</v>
      </c>
      <c r="C292" s="60">
        <f t="shared" si="24"/>
        <v>1694107</v>
      </c>
      <c r="D292" s="61">
        <f t="shared" si="20"/>
        <v>1</v>
      </c>
      <c r="E292" s="64">
        <f t="shared" si="22"/>
        <v>169.41074346097417</v>
      </c>
      <c r="F292" s="62" t="str">
        <f t="shared" si="23"/>
        <v/>
      </c>
    </row>
    <row r="293" spans="1:6">
      <c r="A293" s="60">
        <v>28800</v>
      </c>
      <c r="B293" s="60">
        <f t="shared" si="21"/>
        <v>1697056</v>
      </c>
      <c r="C293" s="60">
        <f t="shared" si="24"/>
        <v>1697056</v>
      </c>
      <c r="D293" s="61">
        <f t="shared" si="20"/>
        <v>1</v>
      </c>
      <c r="E293" s="64">
        <f t="shared" si="22"/>
        <v>169.70562748477141</v>
      </c>
      <c r="F293" s="62" t="str">
        <f t="shared" si="23"/>
        <v/>
      </c>
    </row>
    <row r="294" spans="1:6">
      <c r="A294" s="60">
        <v>28900</v>
      </c>
      <c r="B294" s="60">
        <f t="shared" si="21"/>
        <v>1700000</v>
      </c>
      <c r="C294" s="60">
        <f t="shared" si="24"/>
        <v>1700000</v>
      </c>
      <c r="D294" s="61">
        <f t="shared" si="20"/>
        <v>1</v>
      </c>
      <c r="E294" s="64">
        <f t="shared" si="22"/>
        <v>170</v>
      </c>
      <c r="F294" s="62" t="str">
        <f t="shared" si="23"/>
        <v/>
      </c>
    </row>
    <row r="295" spans="1:6">
      <c r="A295" s="60">
        <v>29000</v>
      </c>
      <c r="B295" s="60">
        <f t="shared" si="21"/>
        <v>1702939</v>
      </c>
      <c r="C295" s="60">
        <f t="shared" si="24"/>
        <v>1702939</v>
      </c>
      <c r="D295" s="61">
        <f t="shared" si="20"/>
        <v>1</v>
      </c>
      <c r="E295" s="64">
        <f t="shared" si="22"/>
        <v>170.29386365926402</v>
      </c>
      <c r="F295" s="62" t="str">
        <f t="shared" si="23"/>
        <v/>
      </c>
    </row>
    <row r="296" spans="1:6">
      <c r="A296" s="60">
        <v>29100</v>
      </c>
      <c r="B296" s="60">
        <f t="shared" si="21"/>
        <v>1705872</v>
      </c>
      <c r="C296" s="60">
        <f t="shared" si="24"/>
        <v>1705872</v>
      </c>
      <c r="D296" s="61">
        <f t="shared" si="20"/>
        <v>1</v>
      </c>
      <c r="E296" s="64">
        <f t="shared" si="22"/>
        <v>170.58722109231979</v>
      </c>
      <c r="F296" s="62" t="str">
        <f t="shared" si="23"/>
        <v/>
      </c>
    </row>
    <row r="297" spans="1:6">
      <c r="A297" s="60">
        <v>29200</v>
      </c>
      <c r="B297" s="60">
        <f t="shared" si="21"/>
        <v>1708801</v>
      </c>
      <c r="C297" s="60">
        <f t="shared" si="24"/>
        <v>1708801</v>
      </c>
      <c r="D297" s="61">
        <f t="shared" si="20"/>
        <v>1</v>
      </c>
      <c r="E297" s="64">
        <f t="shared" si="22"/>
        <v>170.88007490635061</v>
      </c>
      <c r="F297" s="62" t="str">
        <f t="shared" si="23"/>
        <v/>
      </c>
    </row>
    <row r="298" spans="1:6">
      <c r="A298" s="60">
        <v>29300</v>
      </c>
      <c r="B298" s="60">
        <f t="shared" si="21"/>
        <v>1711724</v>
      </c>
      <c r="C298" s="60">
        <f t="shared" si="24"/>
        <v>1711724</v>
      </c>
      <c r="D298" s="61">
        <f t="shared" si="20"/>
        <v>1</v>
      </c>
      <c r="E298" s="64">
        <f t="shared" si="22"/>
        <v>171.17242768623689</v>
      </c>
      <c r="F298" s="62" t="str">
        <f t="shared" si="23"/>
        <v/>
      </c>
    </row>
    <row r="299" spans="1:6">
      <c r="A299" s="60">
        <v>29400</v>
      </c>
      <c r="B299" s="60">
        <f t="shared" si="21"/>
        <v>1714643</v>
      </c>
      <c r="C299" s="60">
        <f t="shared" si="24"/>
        <v>1714643</v>
      </c>
      <c r="D299" s="61">
        <f t="shared" si="20"/>
        <v>1</v>
      </c>
      <c r="E299" s="64">
        <f t="shared" si="22"/>
        <v>171.46428199482247</v>
      </c>
      <c r="F299" s="62" t="str">
        <f t="shared" si="23"/>
        <v/>
      </c>
    </row>
    <row r="300" spans="1:6">
      <c r="A300" s="60">
        <v>29500</v>
      </c>
      <c r="B300" s="60">
        <f t="shared" si="21"/>
        <v>1717556</v>
      </c>
      <c r="C300" s="60">
        <f t="shared" si="24"/>
        <v>1717556</v>
      </c>
      <c r="D300" s="61">
        <f t="shared" si="20"/>
        <v>1</v>
      </c>
      <c r="E300" s="64">
        <f t="shared" si="22"/>
        <v>171.75564037317667</v>
      </c>
      <c r="F300" s="62" t="str">
        <f t="shared" si="23"/>
        <v/>
      </c>
    </row>
    <row r="301" spans="1:6">
      <c r="A301" s="60">
        <v>29600</v>
      </c>
      <c r="B301" s="60">
        <f t="shared" si="21"/>
        <v>1720465</v>
      </c>
      <c r="C301" s="60">
        <f t="shared" si="24"/>
        <v>1720465</v>
      </c>
      <c r="D301" s="61">
        <f t="shared" si="20"/>
        <v>1</v>
      </c>
      <c r="E301" s="64">
        <f t="shared" si="22"/>
        <v>172.04650534085255</v>
      </c>
      <c r="F301" s="62" t="str">
        <f t="shared" si="23"/>
        <v/>
      </c>
    </row>
    <row r="302" spans="1:6">
      <c r="A302" s="60">
        <v>29700</v>
      </c>
      <c r="B302" s="60">
        <f t="shared" si="21"/>
        <v>1723369</v>
      </c>
      <c r="C302" s="60">
        <f t="shared" si="24"/>
        <v>1723369</v>
      </c>
      <c r="D302" s="61">
        <f t="shared" si="20"/>
        <v>1</v>
      </c>
      <c r="E302" s="64">
        <f t="shared" si="22"/>
        <v>172.33687939614086</v>
      </c>
      <c r="F302" s="62" t="str">
        <f t="shared" si="23"/>
        <v/>
      </c>
    </row>
    <row r="303" spans="1:6">
      <c r="A303" s="60">
        <v>29800</v>
      </c>
      <c r="B303" s="60">
        <f t="shared" si="21"/>
        <v>1726268</v>
      </c>
      <c r="C303" s="60">
        <f t="shared" si="24"/>
        <v>1726268</v>
      </c>
      <c r="D303" s="61">
        <f t="shared" si="20"/>
        <v>1</v>
      </c>
      <c r="E303" s="64">
        <f t="shared" si="22"/>
        <v>172.62676501632069</v>
      </c>
      <c r="F303" s="62" t="str">
        <f t="shared" si="23"/>
        <v/>
      </c>
    </row>
    <row r="304" spans="1:6">
      <c r="A304" s="60">
        <v>29900</v>
      </c>
      <c r="B304" s="60">
        <f t="shared" si="21"/>
        <v>1729162</v>
      </c>
      <c r="C304" s="60">
        <f t="shared" si="24"/>
        <v>1729162</v>
      </c>
      <c r="D304" s="61">
        <f t="shared" si="20"/>
        <v>1</v>
      </c>
      <c r="E304" s="64">
        <f t="shared" si="22"/>
        <v>172.91616465790582</v>
      </c>
      <c r="F304" s="62" t="str">
        <f t="shared" si="23"/>
        <v/>
      </c>
    </row>
    <row r="305" spans="1:6">
      <c r="A305" s="60">
        <v>30000</v>
      </c>
      <c r="B305" s="60">
        <f t="shared" si="21"/>
        <v>1732051</v>
      </c>
      <c r="C305" s="60">
        <f t="shared" si="24"/>
        <v>1732051</v>
      </c>
      <c r="D305" s="61">
        <f t="shared" si="20"/>
        <v>1</v>
      </c>
      <c r="E305" s="64">
        <f t="shared" si="22"/>
        <v>173.20508075688772</v>
      </c>
      <c r="F305" s="62" t="str">
        <f t="shared" si="23"/>
        <v/>
      </c>
    </row>
    <row r="306" spans="1:6">
      <c r="A306" s="60">
        <v>30100</v>
      </c>
      <c r="B306" s="60">
        <f t="shared" si="21"/>
        <v>1734935</v>
      </c>
      <c r="C306" s="60">
        <f t="shared" si="24"/>
        <v>1734935</v>
      </c>
      <c r="D306" s="61">
        <f t="shared" si="20"/>
        <v>1</v>
      </c>
      <c r="E306" s="64">
        <f t="shared" si="22"/>
        <v>173.49351572897473</v>
      </c>
      <c r="F306" s="62" t="str">
        <f t="shared" si="23"/>
        <v/>
      </c>
    </row>
    <row r="307" spans="1:6">
      <c r="A307" s="60">
        <v>30200</v>
      </c>
      <c r="B307" s="60">
        <f t="shared" si="21"/>
        <v>1737815</v>
      </c>
      <c r="C307" s="60">
        <f t="shared" si="24"/>
        <v>1737815</v>
      </c>
      <c r="D307" s="61">
        <f t="shared" si="20"/>
        <v>1</v>
      </c>
      <c r="E307" s="64">
        <f t="shared" si="22"/>
        <v>173.78147196982766</v>
      </c>
      <c r="F307" s="62" t="str">
        <f t="shared" si="23"/>
        <v/>
      </c>
    </row>
    <row r="308" spans="1:6">
      <c r="A308" s="60">
        <v>30300</v>
      </c>
      <c r="B308" s="60">
        <f t="shared" si="21"/>
        <v>1740690</v>
      </c>
      <c r="C308" s="60">
        <f t="shared" si="24"/>
        <v>1740690</v>
      </c>
      <c r="D308" s="61">
        <f t="shared" si="20"/>
        <v>1</v>
      </c>
      <c r="E308" s="64">
        <f t="shared" si="22"/>
        <v>174.06895185529211</v>
      </c>
      <c r="F308" s="62" t="str">
        <f t="shared" si="23"/>
        <v/>
      </c>
    </row>
    <row r="309" spans="1:6">
      <c r="A309" s="60">
        <v>30400</v>
      </c>
      <c r="B309" s="60">
        <f t="shared" si="21"/>
        <v>1743560</v>
      </c>
      <c r="C309" s="60">
        <f t="shared" si="24"/>
        <v>1743560</v>
      </c>
      <c r="D309" s="61">
        <f t="shared" si="20"/>
        <v>1</v>
      </c>
      <c r="E309" s="64">
        <f t="shared" si="22"/>
        <v>174.35595774162695</v>
      </c>
      <c r="F309" s="62" t="str">
        <f t="shared" si="23"/>
        <v/>
      </c>
    </row>
    <row r="310" spans="1:6">
      <c r="A310" s="60">
        <v>30500</v>
      </c>
      <c r="B310" s="60">
        <f t="shared" si="21"/>
        <v>1746425</v>
      </c>
      <c r="C310" s="60">
        <f t="shared" si="24"/>
        <v>1746425</v>
      </c>
      <c r="D310" s="61">
        <f t="shared" si="20"/>
        <v>1</v>
      </c>
      <c r="E310" s="64">
        <f t="shared" si="22"/>
        <v>174.64249196572982</v>
      </c>
      <c r="F310" s="62" t="str">
        <f t="shared" si="23"/>
        <v/>
      </c>
    </row>
    <row r="311" spans="1:6">
      <c r="A311" s="60">
        <v>30600</v>
      </c>
      <c r="B311" s="60">
        <f t="shared" si="21"/>
        <v>1749286</v>
      </c>
      <c r="C311" s="60">
        <f t="shared" si="24"/>
        <v>1749286</v>
      </c>
      <c r="D311" s="61">
        <f t="shared" si="20"/>
        <v>1</v>
      </c>
      <c r="E311" s="64">
        <f t="shared" si="22"/>
        <v>174.92855684535903</v>
      </c>
      <c r="F311" s="62" t="str">
        <f t="shared" si="23"/>
        <v/>
      </c>
    </row>
    <row r="312" spans="1:6">
      <c r="A312" s="60">
        <v>30700</v>
      </c>
      <c r="B312" s="60">
        <f t="shared" si="21"/>
        <v>1752142</v>
      </c>
      <c r="C312" s="60">
        <f t="shared" si="24"/>
        <v>1752142</v>
      </c>
      <c r="D312" s="61">
        <f t="shared" si="20"/>
        <v>1</v>
      </c>
      <c r="E312" s="64">
        <f t="shared" si="22"/>
        <v>175.2141546793523</v>
      </c>
      <c r="F312" s="62" t="str">
        <f t="shared" si="23"/>
        <v/>
      </c>
    </row>
    <row r="313" spans="1:6">
      <c r="A313" s="60">
        <v>30800</v>
      </c>
      <c r="B313" s="60">
        <f t="shared" si="21"/>
        <v>1754993</v>
      </c>
      <c r="C313" s="60">
        <f t="shared" si="24"/>
        <v>1754993</v>
      </c>
      <c r="D313" s="61">
        <f t="shared" si="20"/>
        <v>1</v>
      </c>
      <c r="E313" s="64">
        <f t="shared" si="22"/>
        <v>175.49928774784243</v>
      </c>
      <c r="F313" s="62" t="str">
        <f t="shared" si="23"/>
        <v/>
      </c>
    </row>
    <row r="314" spans="1:6">
      <c r="A314" s="60">
        <v>30900</v>
      </c>
      <c r="B314" s="60">
        <f t="shared" si="21"/>
        <v>1757840</v>
      </c>
      <c r="C314" s="60">
        <f t="shared" si="24"/>
        <v>1757840</v>
      </c>
      <c r="D314" s="61">
        <f t="shared" si="20"/>
        <v>1</v>
      </c>
      <c r="E314" s="64">
        <f t="shared" si="22"/>
        <v>175.78395831246945</v>
      </c>
      <c r="F314" s="62" t="str">
        <f t="shared" si="23"/>
        <v/>
      </c>
    </row>
    <row r="315" spans="1:6">
      <c r="A315" s="60">
        <v>31000</v>
      </c>
      <c r="B315" s="60">
        <f t="shared" si="21"/>
        <v>1760682</v>
      </c>
      <c r="C315" s="60">
        <f t="shared" si="24"/>
        <v>1760682</v>
      </c>
      <c r="D315" s="61">
        <f t="shared" si="20"/>
        <v>1</v>
      </c>
      <c r="E315" s="64">
        <f t="shared" si="22"/>
        <v>176.0681686165901</v>
      </c>
      <c r="F315" s="62" t="str">
        <f t="shared" si="23"/>
        <v/>
      </c>
    </row>
    <row r="316" spans="1:6">
      <c r="A316" s="60">
        <v>31100</v>
      </c>
      <c r="B316" s="60">
        <f t="shared" si="21"/>
        <v>1763519</v>
      </c>
      <c r="C316" s="60">
        <f t="shared" si="24"/>
        <v>1763519</v>
      </c>
      <c r="D316" s="61">
        <f t="shared" si="20"/>
        <v>1</v>
      </c>
      <c r="E316" s="64">
        <f t="shared" si="22"/>
        <v>176.35192088548399</v>
      </c>
      <c r="F316" s="62" t="str">
        <f t="shared" si="23"/>
        <v/>
      </c>
    </row>
    <row r="317" spans="1:6">
      <c r="A317" s="60">
        <v>31200</v>
      </c>
      <c r="B317" s="60">
        <f t="shared" si="21"/>
        <v>1766352</v>
      </c>
      <c r="C317" s="60">
        <f t="shared" si="24"/>
        <v>1766352</v>
      </c>
      <c r="D317" s="61">
        <f t="shared" si="20"/>
        <v>1</v>
      </c>
      <c r="E317" s="64">
        <f t="shared" si="22"/>
        <v>176.63521732655693</v>
      </c>
      <c r="F317" s="62" t="str">
        <f t="shared" si="23"/>
        <v/>
      </c>
    </row>
    <row r="318" spans="1:6">
      <c r="A318" s="60">
        <v>31300</v>
      </c>
      <c r="B318" s="60">
        <f t="shared" si="21"/>
        <v>1769181</v>
      </c>
      <c r="C318" s="60">
        <f t="shared" si="24"/>
        <v>1769181</v>
      </c>
      <c r="D318" s="61">
        <f t="shared" si="20"/>
        <v>1</v>
      </c>
      <c r="E318" s="64">
        <f t="shared" si="22"/>
        <v>176.91806012954132</v>
      </c>
      <c r="F318" s="62" t="str">
        <f t="shared" si="23"/>
        <v/>
      </c>
    </row>
    <row r="319" spans="1:6">
      <c r="A319" s="60">
        <v>31400</v>
      </c>
      <c r="B319" s="60">
        <f t="shared" si="21"/>
        <v>1772005</v>
      </c>
      <c r="C319" s="60">
        <f t="shared" si="24"/>
        <v>1772005</v>
      </c>
      <c r="D319" s="61">
        <f t="shared" si="20"/>
        <v>1</v>
      </c>
      <c r="E319" s="64">
        <f t="shared" si="22"/>
        <v>177.20045146669349</v>
      </c>
      <c r="F319" s="62" t="str">
        <f t="shared" si="23"/>
        <v/>
      </c>
    </row>
    <row r="320" spans="1:6">
      <c r="A320" s="60">
        <v>31500</v>
      </c>
      <c r="B320" s="60">
        <f t="shared" si="21"/>
        <v>1774824</v>
      </c>
      <c r="C320" s="60">
        <f t="shared" si="24"/>
        <v>1774824</v>
      </c>
      <c r="D320" s="61">
        <f t="shared" si="20"/>
        <v>1</v>
      </c>
      <c r="E320" s="64">
        <f t="shared" si="22"/>
        <v>177.48239349298848</v>
      </c>
      <c r="F320" s="62" t="str">
        <f t="shared" si="23"/>
        <v/>
      </c>
    </row>
    <row r="321" spans="1:6">
      <c r="A321" s="60">
        <v>31600</v>
      </c>
      <c r="B321" s="60">
        <f t="shared" si="21"/>
        <v>1777639</v>
      </c>
      <c r="C321" s="60">
        <f t="shared" si="24"/>
        <v>1777639</v>
      </c>
      <c r="D321" s="61">
        <f t="shared" si="20"/>
        <v>1</v>
      </c>
      <c r="E321" s="64">
        <f t="shared" si="22"/>
        <v>177.76388834631177</v>
      </c>
      <c r="F321" s="62" t="str">
        <f t="shared" si="23"/>
        <v/>
      </c>
    </row>
    <row r="322" spans="1:6">
      <c r="A322" s="60">
        <v>31700</v>
      </c>
      <c r="B322" s="60">
        <f t="shared" si="21"/>
        <v>1780449</v>
      </c>
      <c r="C322" s="60">
        <f t="shared" si="24"/>
        <v>1780449</v>
      </c>
      <c r="D322" s="61">
        <f t="shared" si="20"/>
        <v>1</v>
      </c>
      <c r="E322" s="64">
        <f t="shared" si="22"/>
        <v>178.04493814764857</v>
      </c>
      <c r="F322" s="62" t="str">
        <f t="shared" si="23"/>
        <v/>
      </c>
    </row>
    <row r="323" spans="1:6">
      <c r="A323" s="60">
        <v>31800</v>
      </c>
      <c r="B323" s="60">
        <f t="shared" si="21"/>
        <v>1783255</v>
      </c>
      <c r="C323" s="60">
        <f t="shared" si="24"/>
        <v>1783255</v>
      </c>
      <c r="D323" s="61">
        <f t="shared" si="20"/>
        <v>1</v>
      </c>
      <c r="E323" s="64">
        <f t="shared" si="22"/>
        <v>178.32554500127009</v>
      </c>
      <c r="F323" s="62" t="str">
        <f t="shared" si="23"/>
        <v/>
      </c>
    </row>
    <row r="324" spans="1:6">
      <c r="A324" s="60">
        <v>31900</v>
      </c>
      <c r="B324" s="60">
        <f t="shared" si="21"/>
        <v>1786057</v>
      </c>
      <c r="C324" s="60">
        <f t="shared" si="24"/>
        <v>1786057</v>
      </c>
      <c r="D324" s="61">
        <f t="shared" si="20"/>
        <v>1</v>
      </c>
      <c r="E324" s="64">
        <f t="shared" si="22"/>
        <v>178.60571099491753</v>
      </c>
      <c r="F324" s="62" t="str">
        <f t="shared" si="23"/>
        <v/>
      </c>
    </row>
    <row r="325" spans="1:6">
      <c r="A325" s="60">
        <v>32000</v>
      </c>
      <c r="B325" s="60">
        <f t="shared" si="21"/>
        <v>1788854</v>
      </c>
      <c r="C325" s="60">
        <f t="shared" si="24"/>
        <v>1788854</v>
      </c>
      <c r="D325" s="61">
        <f t="shared" ref="D325:D388" si="25">(A325-INDEX(兵力区间,MATCH(A325,兵力区间,1)))/(INDEX(兵力区间,MATCH(A325,兵力区间,1)+1)-INDEX(兵力区间,MATCH(A325,兵力区间,1)))*((INDEX(兵力调节,MATCH(A325,兵力区间,1)+1,2)-INDEX(兵力调节,MATCH(A325,兵力区间,1),2)))+INDEX(兵力调节,MATCH(A325,兵力区间,1),2)</f>
        <v>1</v>
      </c>
      <c r="E325" s="64">
        <f t="shared" si="22"/>
        <v>178.88543819998318</v>
      </c>
      <c r="F325" s="62" t="str">
        <f t="shared" si="23"/>
        <v/>
      </c>
    </row>
    <row r="326" spans="1:6">
      <c r="A326" s="60">
        <v>32100</v>
      </c>
      <c r="B326" s="60">
        <f t="shared" si="21"/>
        <v>1791647</v>
      </c>
      <c r="C326" s="60">
        <f t="shared" si="24"/>
        <v>1791647</v>
      </c>
      <c r="D326" s="61">
        <f t="shared" si="25"/>
        <v>1</v>
      </c>
      <c r="E326" s="64">
        <f t="shared" si="22"/>
        <v>179.16472867168918</v>
      </c>
      <c r="F326" s="62" t="str">
        <f t="shared" si="23"/>
        <v/>
      </c>
    </row>
    <row r="327" spans="1:6">
      <c r="A327" s="60">
        <v>32200</v>
      </c>
      <c r="B327" s="60">
        <f t="shared" ref="B327:B390" si="26">ROUND(D327*E327*10000,0)</f>
        <v>1794436</v>
      </c>
      <c r="C327" s="60">
        <f t="shared" si="24"/>
        <v>1794436</v>
      </c>
      <c r="D327" s="61">
        <f t="shared" si="25"/>
        <v>1</v>
      </c>
      <c r="E327" s="64">
        <f t="shared" ref="E327:E390" si="27">A327^0.5</f>
        <v>179.4435844492636</v>
      </c>
      <c r="F327" s="62" t="str">
        <f t="shared" si="23"/>
        <v/>
      </c>
    </row>
    <row r="328" spans="1:6">
      <c r="A328" s="60">
        <v>32300</v>
      </c>
      <c r="B328" s="60">
        <f t="shared" si="26"/>
        <v>1797220</v>
      </c>
      <c r="C328" s="60">
        <f t="shared" si="24"/>
        <v>1797220</v>
      </c>
      <c r="D328" s="61">
        <f t="shared" si="25"/>
        <v>1</v>
      </c>
      <c r="E328" s="64">
        <f t="shared" si="27"/>
        <v>179.72200755611428</v>
      </c>
      <c r="F328" s="62" t="str">
        <f t="shared" ref="F328:F391" si="28">IF(B328&lt;B327,1,"")</f>
        <v/>
      </c>
    </row>
    <row r="329" spans="1:6">
      <c r="A329" s="60">
        <v>32400</v>
      </c>
      <c r="B329" s="60">
        <f t="shared" si="26"/>
        <v>1800000</v>
      </c>
      <c r="C329" s="60">
        <f t="shared" si="24"/>
        <v>1800000</v>
      </c>
      <c r="D329" s="61">
        <f t="shared" si="25"/>
        <v>1</v>
      </c>
      <c r="E329" s="64">
        <f t="shared" si="27"/>
        <v>180</v>
      </c>
      <c r="F329" s="62" t="str">
        <f t="shared" si="28"/>
        <v/>
      </c>
    </row>
    <row r="330" spans="1:6">
      <c r="A330" s="60">
        <v>32500</v>
      </c>
      <c r="B330" s="60">
        <f t="shared" si="26"/>
        <v>1802776</v>
      </c>
      <c r="C330" s="60">
        <f t="shared" si="24"/>
        <v>1802776</v>
      </c>
      <c r="D330" s="61">
        <f t="shared" si="25"/>
        <v>1</v>
      </c>
      <c r="E330" s="64">
        <f t="shared" si="27"/>
        <v>180.27756377319946</v>
      </c>
      <c r="F330" s="62" t="str">
        <f t="shared" si="28"/>
        <v/>
      </c>
    </row>
    <row r="331" spans="1:6">
      <c r="A331" s="60">
        <v>32600</v>
      </c>
      <c r="B331" s="60">
        <f t="shared" si="26"/>
        <v>1805547</v>
      </c>
      <c r="C331" s="60">
        <f t="shared" ref="C331:C394" si="29">ROUND(D331*E331*10000,0)</f>
        <v>1805547</v>
      </c>
      <c r="D331" s="61">
        <f t="shared" si="25"/>
        <v>1</v>
      </c>
      <c r="E331" s="64">
        <f t="shared" si="27"/>
        <v>180.55470085267788</v>
      </c>
      <c r="F331" s="62" t="str">
        <f t="shared" si="28"/>
        <v/>
      </c>
    </row>
    <row r="332" spans="1:6">
      <c r="A332" s="60">
        <v>32700</v>
      </c>
      <c r="B332" s="60">
        <f t="shared" si="26"/>
        <v>1808314</v>
      </c>
      <c r="C332" s="60">
        <f t="shared" si="29"/>
        <v>1808314</v>
      </c>
      <c r="D332" s="61">
        <f t="shared" si="25"/>
        <v>1</v>
      </c>
      <c r="E332" s="64">
        <f t="shared" si="27"/>
        <v>180.83141320025123</v>
      </c>
      <c r="F332" s="62" t="str">
        <f t="shared" si="28"/>
        <v/>
      </c>
    </row>
    <row r="333" spans="1:6">
      <c r="A333" s="60">
        <v>32800</v>
      </c>
      <c r="B333" s="60">
        <f t="shared" si="26"/>
        <v>1811077</v>
      </c>
      <c r="C333" s="60">
        <f t="shared" si="29"/>
        <v>1811077</v>
      </c>
      <c r="D333" s="61">
        <f t="shared" si="25"/>
        <v>1</v>
      </c>
      <c r="E333" s="64">
        <f t="shared" si="27"/>
        <v>181.10770276274835</v>
      </c>
      <c r="F333" s="62" t="str">
        <f t="shared" si="28"/>
        <v/>
      </c>
    </row>
    <row r="334" spans="1:6">
      <c r="A334" s="60">
        <v>32900</v>
      </c>
      <c r="B334" s="60">
        <f t="shared" si="26"/>
        <v>1813836</v>
      </c>
      <c r="C334" s="60">
        <f t="shared" si="29"/>
        <v>1813836</v>
      </c>
      <c r="D334" s="61">
        <f t="shared" si="25"/>
        <v>1</v>
      </c>
      <c r="E334" s="64">
        <f t="shared" si="27"/>
        <v>181.38357147217053</v>
      </c>
      <c r="F334" s="62" t="str">
        <f t="shared" si="28"/>
        <v/>
      </c>
    </row>
    <row r="335" spans="1:6">
      <c r="A335" s="60">
        <v>33000</v>
      </c>
      <c r="B335" s="60">
        <f t="shared" si="26"/>
        <v>1816590</v>
      </c>
      <c r="C335" s="60">
        <f t="shared" si="29"/>
        <v>1816590</v>
      </c>
      <c r="D335" s="61">
        <f t="shared" si="25"/>
        <v>1</v>
      </c>
      <c r="E335" s="64">
        <f t="shared" si="27"/>
        <v>181.65902124584949</v>
      </c>
      <c r="F335" s="62" t="str">
        <f t="shared" si="28"/>
        <v/>
      </c>
    </row>
    <row r="336" spans="1:6">
      <c r="A336" s="60">
        <v>33100</v>
      </c>
      <c r="B336" s="60">
        <f t="shared" si="26"/>
        <v>1819341</v>
      </c>
      <c r="C336" s="60">
        <f t="shared" si="29"/>
        <v>1819341</v>
      </c>
      <c r="D336" s="61">
        <f t="shared" si="25"/>
        <v>1</v>
      </c>
      <c r="E336" s="64">
        <f t="shared" si="27"/>
        <v>181.93405398660252</v>
      </c>
      <c r="F336" s="62" t="str">
        <f t="shared" si="28"/>
        <v/>
      </c>
    </row>
    <row r="337" spans="1:6">
      <c r="A337" s="60">
        <v>33200</v>
      </c>
      <c r="B337" s="60">
        <f t="shared" si="26"/>
        <v>1822087</v>
      </c>
      <c r="C337" s="60">
        <f t="shared" si="29"/>
        <v>1822087</v>
      </c>
      <c r="D337" s="61">
        <f t="shared" si="25"/>
        <v>1</v>
      </c>
      <c r="E337" s="64">
        <f t="shared" si="27"/>
        <v>182.20867158288598</v>
      </c>
      <c r="F337" s="62" t="str">
        <f t="shared" si="28"/>
        <v/>
      </c>
    </row>
    <row r="338" spans="1:6">
      <c r="A338" s="60">
        <v>33300</v>
      </c>
      <c r="B338" s="60">
        <f t="shared" si="26"/>
        <v>1824829</v>
      </c>
      <c r="C338" s="60">
        <f t="shared" si="29"/>
        <v>1824829</v>
      </c>
      <c r="D338" s="61">
        <f t="shared" si="25"/>
        <v>1</v>
      </c>
      <c r="E338" s="64">
        <f t="shared" si="27"/>
        <v>182.4828759089466</v>
      </c>
      <c r="F338" s="62" t="str">
        <f t="shared" si="28"/>
        <v/>
      </c>
    </row>
    <row r="339" spans="1:6">
      <c r="A339" s="60">
        <v>33400</v>
      </c>
      <c r="B339" s="60">
        <f t="shared" si="26"/>
        <v>1827567</v>
      </c>
      <c r="C339" s="60">
        <f t="shared" si="29"/>
        <v>1827567</v>
      </c>
      <c r="D339" s="61">
        <f t="shared" si="25"/>
        <v>1</v>
      </c>
      <c r="E339" s="64">
        <f t="shared" si="27"/>
        <v>182.75666882497066</v>
      </c>
      <c r="F339" s="62" t="str">
        <f t="shared" si="28"/>
        <v/>
      </c>
    </row>
    <row r="340" spans="1:6">
      <c r="A340" s="60">
        <v>33500</v>
      </c>
      <c r="B340" s="60">
        <f t="shared" si="26"/>
        <v>1830301</v>
      </c>
      <c r="C340" s="60">
        <f t="shared" si="29"/>
        <v>1830301</v>
      </c>
      <c r="D340" s="61">
        <f t="shared" si="25"/>
        <v>1</v>
      </c>
      <c r="E340" s="64">
        <f t="shared" si="27"/>
        <v>183.03005217723125</v>
      </c>
      <c r="F340" s="62" t="str">
        <f t="shared" si="28"/>
        <v/>
      </c>
    </row>
    <row r="341" spans="1:6">
      <c r="A341" s="60">
        <v>33600</v>
      </c>
      <c r="B341" s="60">
        <f t="shared" si="26"/>
        <v>1833030</v>
      </c>
      <c r="C341" s="60">
        <f t="shared" si="29"/>
        <v>1833030</v>
      </c>
      <c r="D341" s="61">
        <f t="shared" si="25"/>
        <v>1</v>
      </c>
      <c r="E341" s="64">
        <f t="shared" si="27"/>
        <v>183.30302779823359</v>
      </c>
      <c r="F341" s="62" t="str">
        <f t="shared" si="28"/>
        <v/>
      </c>
    </row>
    <row r="342" spans="1:6">
      <c r="A342" s="60">
        <v>33700</v>
      </c>
      <c r="B342" s="60">
        <f t="shared" si="26"/>
        <v>1835756</v>
      </c>
      <c r="C342" s="60">
        <f t="shared" si="29"/>
        <v>1835756</v>
      </c>
      <c r="D342" s="61">
        <f t="shared" si="25"/>
        <v>1</v>
      </c>
      <c r="E342" s="64">
        <f t="shared" si="27"/>
        <v>183.5755975068582</v>
      </c>
      <c r="F342" s="62" t="str">
        <f t="shared" si="28"/>
        <v/>
      </c>
    </row>
    <row r="343" spans="1:6">
      <c r="A343" s="60">
        <v>33800</v>
      </c>
      <c r="B343" s="60">
        <f t="shared" si="26"/>
        <v>1838478</v>
      </c>
      <c r="C343" s="60">
        <f t="shared" si="29"/>
        <v>1838478</v>
      </c>
      <c r="D343" s="61">
        <f t="shared" si="25"/>
        <v>1</v>
      </c>
      <c r="E343" s="64">
        <f t="shared" si="27"/>
        <v>183.84776310850236</v>
      </c>
      <c r="F343" s="62" t="str">
        <f t="shared" si="28"/>
        <v/>
      </c>
    </row>
    <row r="344" spans="1:6">
      <c r="A344" s="60">
        <v>33900</v>
      </c>
      <c r="B344" s="60">
        <f t="shared" si="26"/>
        <v>1841195</v>
      </c>
      <c r="C344" s="60">
        <f t="shared" si="29"/>
        <v>1841195</v>
      </c>
      <c r="D344" s="61">
        <f t="shared" si="25"/>
        <v>1</v>
      </c>
      <c r="E344" s="64">
        <f t="shared" si="27"/>
        <v>184.11952639521968</v>
      </c>
      <c r="F344" s="62" t="str">
        <f t="shared" si="28"/>
        <v/>
      </c>
    </row>
    <row r="345" spans="1:6">
      <c r="A345" s="60">
        <v>34000</v>
      </c>
      <c r="B345" s="60">
        <f t="shared" si="26"/>
        <v>1843909</v>
      </c>
      <c r="C345" s="60">
        <f t="shared" si="29"/>
        <v>1843909</v>
      </c>
      <c r="D345" s="61">
        <f t="shared" si="25"/>
        <v>1</v>
      </c>
      <c r="E345" s="64">
        <f t="shared" si="27"/>
        <v>184.39088914585776</v>
      </c>
      <c r="F345" s="62" t="str">
        <f t="shared" si="28"/>
        <v/>
      </c>
    </row>
    <row r="346" spans="1:6">
      <c r="A346" s="60">
        <v>34100</v>
      </c>
      <c r="B346" s="60">
        <f t="shared" si="26"/>
        <v>1846619</v>
      </c>
      <c r="C346" s="60">
        <f t="shared" si="29"/>
        <v>1846619</v>
      </c>
      <c r="D346" s="61">
        <f t="shared" si="25"/>
        <v>1</v>
      </c>
      <c r="E346" s="64">
        <f t="shared" si="27"/>
        <v>184.66185312619388</v>
      </c>
      <c r="F346" s="62" t="str">
        <f t="shared" si="28"/>
        <v/>
      </c>
    </row>
    <row r="347" spans="1:6">
      <c r="A347" s="60">
        <v>34200</v>
      </c>
      <c r="B347" s="60">
        <f t="shared" si="26"/>
        <v>1849324</v>
      </c>
      <c r="C347" s="60">
        <f t="shared" si="29"/>
        <v>1849324</v>
      </c>
      <c r="D347" s="61">
        <f t="shared" si="25"/>
        <v>1</v>
      </c>
      <c r="E347" s="64">
        <f t="shared" si="27"/>
        <v>184.9324200890693</v>
      </c>
      <c r="F347" s="62" t="str">
        <f t="shared" si="28"/>
        <v/>
      </c>
    </row>
    <row r="348" spans="1:6">
      <c r="A348" s="60">
        <v>34300</v>
      </c>
      <c r="B348" s="60">
        <f t="shared" si="26"/>
        <v>1852026</v>
      </c>
      <c r="C348" s="60">
        <f t="shared" si="29"/>
        <v>1852026</v>
      </c>
      <c r="D348" s="61">
        <f t="shared" si="25"/>
        <v>1</v>
      </c>
      <c r="E348" s="64">
        <f t="shared" si="27"/>
        <v>185.20259177452135</v>
      </c>
      <c r="F348" s="62" t="str">
        <f t="shared" si="28"/>
        <v/>
      </c>
    </row>
    <row r="349" spans="1:6">
      <c r="A349" s="60">
        <v>34400</v>
      </c>
      <c r="B349" s="60">
        <f t="shared" si="26"/>
        <v>1854724</v>
      </c>
      <c r="C349" s="60">
        <f t="shared" si="29"/>
        <v>1854724</v>
      </c>
      <c r="D349" s="61">
        <f t="shared" si="25"/>
        <v>1</v>
      </c>
      <c r="E349" s="64">
        <f t="shared" si="27"/>
        <v>185.47236990991408</v>
      </c>
      <c r="F349" s="62" t="str">
        <f t="shared" si="28"/>
        <v/>
      </c>
    </row>
    <row r="350" spans="1:6">
      <c r="A350" s="60">
        <v>34500</v>
      </c>
      <c r="B350" s="60">
        <f t="shared" si="26"/>
        <v>1857418</v>
      </c>
      <c r="C350" s="60">
        <f t="shared" si="29"/>
        <v>1857418</v>
      </c>
      <c r="D350" s="61">
        <f t="shared" si="25"/>
        <v>1</v>
      </c>
      <c r="E350" s="64">
        <f t="shared" si="27"/>
        <v>185.74175621006711</v>
      </c>
      <c r="F350" s="62" t="str">
        <f t="shared" si="28"/>
        <v/>
      </c>
    </row>
    <row r="351" spans="1:6">
      <c r="A351" s="60">
        <v>34600</v>
      </c>
      <c r="B351" s="60">
        <f t="shared" si="26"/>
        <v>1860108</v>
      </c>
      <c r="C351" s="60">
        <f t="shared" si="29"/>
        <v>1860108</v>
      </c>
      <c r="D351" s="61">
        <f t="shared" si="25"/>
        <v>1</v>
      </c>
      <c r="E351" s="64">
        <f t="shared" si="27"/>
        <v>186.01075237738274</v>
      </c>
      <c r="F351" s="62" t="str">
        <f t="shared" si="28"/>
        <v/>
      </c>
    </row>
    <row r="352" spans="1:6">
      <c r="A352" s="60">
        <v>34700</v>
      </c>
      <c r="B352" s="60">
        <f t="shared" si="26"/>
        <v>1862794</v>
      </c>
      <c r="C352" s="60">
        <f t="shared" si="29"/>
        <v>1862794</v>
      </c>
      <c r="D352" s="61">
        <f t="shared" si="25"/>
        <v>1</v>
      </c>
      <c r="E352" s="64">
        <f t="shared" si="27"/>
        <v>186.27936010197158</v>
      </c>
      <c r="F352" s="62" t="str">
        <f t="shared" si="28"/>
        <v/>
      </c>
    </row>
    <row r="353" spans="1:6">
      <c r="A353" s="60">
        <v>34800</v>
      </c>
      <c r="B353" s="60">
        <f t="shared" si="26"/>
        <v>1865476</v>
      </c>
      <c r="C353" s="60">
        <f t="shared" si="29"/>
        <v>1865476</v>
      </c>
      <c r="D353" s="61">
        <f t="shared" si="25"/>
        <v>1</v>
      </c>
      <c r="E353" s="64">
        <f t="shared" si="27"/>
        <v>186.5475810617763</v>
      </c>
      <c r="F353" s="62" t="str">
        <f t="shared" si="28"/>
        <v/>
      </c>
    </row>
    <row r="354" spans="1:6">
      <c r="A354" s="60">
        <v>34900</v>
      </c>
      <c r="B354" s="60">
        <f t="shared" si="26"/>
        <v>1868154</v>
      </c>
      <c r="C354" s="60">
        <f t="shared" si="29"/>
        <v>1868154</v>
      </c>
      <c r="D354" s="61">
        <f t="shared" si="25"/>
        <v>1</v>
      </c>
      <c r="E354" s="64">
        <f t="shared" si="27"/>
        <v>186.81541692269406</v>
      </c>
      <c r="F354" s="62" t="str">
        <f t="shared" si="28"/>
        <v/>
      </c>
    </row>
    <row r="355" spans="1:6">
      <c r="A355" s="60">
        <v>35000</v>
      </c>
      <c r="B355" s="60">
        <f t="shared" si="26"/>
        <v>1870829</v>
      </c>
      <c r="C355" s="60">
        <f t="shared" si="29"/>
        <v>1870829</v>
      </c>
      <c r="D355" s="61">
        <f t="shared" si="25"/>
        <v>1</v>
      </c>
      <c r="E355" s="64">
        <f t="shared" si="27"/>
        <v>187.08286933869707</v>
      </c>
      <c r="F355" s="62" t="str">
        <f t="shared" si="28"/>
        <v/>
      </c>
    </row>
    <row r="356" spans="1:6">
      <c r="A356" s="60">
        <v>35100</v>
      </c>
      <c r="B356" s="60">
        <f t="shared" si="26"/>
        <v>1873499</v>
      </c>
      <c r="C356" s="60">
        <f t="shared" si="29"/>
        <v>1873499</v>
      </c>
      <c r="D356" s="61">
        <f t="shared" si="25"/>
        <v>1</v>
      </c>
      <c r="E356" s="64">
        <f t="shared" si="27"/>
        <v>187.34993995195194</v>
      </c>
      <c r="F356" s="62" t="str">
        <f t="shared" si="28"/>
        <v/>
      </c>
    </row>
    <row r="357" spans="1:6">
      <c r="A357" s="60">
        <v>35200</v>
      </c>
      <c r="B357" s="60">
        <f t="shared" si="26"/>
        <v>1876166</v>
      </c>
      <c r="C357" s="60">
        <f t="shared" si="29"/>
        <v>1876166</v>
      </c>
      <c r="D357" s="61">
        <f t="shared" si="25"/>
        <v>1</v>
      </c>
      <c r="E357" s="64">
        <f t="shared" si="27"/>
        <v>187.6166303929372</v>
      </c>
      <c r="F357" s="62" t="str">
        <f t="shared" si="28"/>
        <v/>
      </c>
    </row>
    <row r="358" spans="1:6">
      <c r="A358" s="60">
        <v>35300</v>
      </c>
      <c r="B358" s="60">
        <f t="shared" si="26"/>
        <v>1878829</v>
      </c>
      <c r="C358" s="60">
        <f t="shared" si="29"/>
        <v>1878829</v>
      </c>
      <c r="D358" s="61">
        <f t="shared" si="25"/>
        <v>1</v>
      </c>
      <c r="E358" s="64">
        <f t="shared" si="27"/>
        <v>187.88294228055935</v>
      </c>
      <c r="F358" s="62" t="str">
        <f t="shared" si="28"/>
        <v/>
      </c>
    </row>
    <row r="359" spans="1:6">
      <c r="A359" s="60">
        <v>35400</v>
      </c>
      <c r="B359" s="60">
        <f t="shared" si="26"/>
        <v>1881489</v>
      </c>
      <c r="C359" s="60">
        <f t="shared" si="29"/>
        <v>1881489</v>
      </c>
      <c r="D359" s="61">
        <f t="shared" si="25"/>
        <v>1</v>
      </c>
      <c r="E359" s="64">
        <f t="shared" si="27"/>
        <v>188.1488772222678</v>
      </c>
      <c r="F359" s="62" t="str">
        <f t="shared" si="28"/>
        <v/>
      </c>
    </row>
    <row r="360" spans="1:6">
      <c r="A360" s="60">
        <v>35500</v>
      </c>
      <c r="B360" s="60">
        <f t="shared" si="26"/>
        <v>1884144</v>
      </c>
      <c r="C360" s="60">
        <f t="shared" si="29"/>
        <v>1884144</v>
      </c>
      <c r="D360" s="61">
        <f t="shared" si="25"/>
        <v>1</v>
      </c>
      <c r="E360" s="64">
        <f t="shared" si="27"/>
        <v>188.41443681416771</v>
      </c>
      <c r="F360" s="62" t="str">
        <f t="shared" si="28"/>
        <v/>
      </c>
    </row>
    <row r="361" spans="1:6">
      <c r="A361" s="60">
        <v>35600</v>
      </c>
      <c r="B361" s="60">
        <f t="shared" si="26"/>
        <v>1886796</v>
      </c>
      <c r="C361" s="60">
        <f t="shared" si="29"/>
        <v>1886796</v>
      </c>
      <c r="D361" s="61">
        <f t="shared" si="25"/>
        <v>1</v>
      </c>
      <c r="E361" s="64">
        <f t="shared" si="27"/>
        <v>188.67962264113208</v>
      </c>
      <c r="F361" s="62" t="str">
        <f t="shared" si="28"/>
        <v/>
      </c>
    </row>
    <row r="362" spans="1:6">
      <c r="A362" s="60">
        <v>35700</v>
      </c>
      <c r="B362" s="60">
        <f t="shared" si="26"/>
        <v>1889444</v>
      </c>
      <c r="C362" s="60">
        <f t="shared" si="29"/>
        <v>1889444</v>
      </c>
      <c r="D362" s="61">
        <f t="shared" si="25"/>
        <v>1</v>
      </c>
      <c r="E362" s="64">
        <f t="shared" si="27"/>
        <v>188.94443627691183</v>
      </c>
      <c r="F362" s="62" t="str">
        <f t="shared" si="28"/>
        <v/>
      </c>
    </row>
    <row r="363" spans="1:6">
      <c r="A363" s="60">
        <v>35800</v>
      </c>
      <c r="B363" s="60">
        <f t="shared" si="26"/>
        <v>1892089</v>
      </c>
      <c r="C363" s="60">
        <f t="shared" si="29"/>
        <v>1892089</v>
      </c>
      <c r="D363" s="61">
        <f t="shared" si="25"/>
        <v>1</v>
      </c>
      <c r="E363" s="64">
        <f t="shared" si="27"/>
        <v>189.208879284245</v>
      </c>
      <c r="F363" s="62" t="str">
        <f t="shared" si="28"/>
        <v/>
      </c>
    </row>
    <row r="364" spans="1:6">
      <c r="A364" s="60">
        <v>35900</v>
      </c>
      <c r="B364" s="60">
        <f t="shared" si="26"/>
        <v>1894730</v>
      </c>
      <c r="C364" s="60">
        <f t="shared" si="29"/>
        <v>1894730</v>
      </c>
      <c r="D364" s="61">
        <f t="shared" si="25"/>
        <v>1</v>
      </c>
      <c r="E364" s="64">
        <f t="shared" si="27"/>
        <v>189.47295321496418</v>
      </c>
      <c r="F364" s="62" t="str">
        <f t="shared" si="28"/>
        <v/>
      </c>
    </row>
    <row r="365" spans="1:6">
      <c r="A365" s="60">
        <v>36000</v>
      </c>
      <c r="B365" s="60">
        <f t="shared" si="26"/>
        <v>1897367</v>
      </c>
      <c r="C365" s="60">
        <f t="shared" si="29"/>
        <v>1897367</v>
      </c>
      <c r="D365" s="61">
        <f t="shared" si="25"/>
        <v>1</v>
      </c>
      <c r="E365" s="64">
        <f t="shared" si="27"/>
        <v>189.73665961010275</v>
      </c>
      <c r="F365" s="62" t="str">
        <f t="shared" si="28"/>
        <v/>
      </c>
    </row>
    <row r="366" spans="1:6">
      <c r="A366" s="60">
        <v>36100</v>
      </c>
      <c r="B366" s="60">
        <f t="shared" si="26"/>
        <v>1900000</v>
      </c>
      <c r="C366" s="60">
        <f t="shared" si="29"/>
        <v>1900000</v>
      </c>
      <c r="D366" s="61">
        <f t="shared" si="25"/>
        <v>1</v>
      </c>
      <c r="E366" s="64">
        <f t="shared" si="27"/>
        <v>190</v>
      </c>
      <c r="F366" s="62" t="str">
        <f t="shared" si="28"/>
        <v/>
      </c>
    </row>
    <row r="367" spans="1:6">
      <c r="A367" s="60">
        <v>36200</v>
      </c>
      <c r="B367" s="60">
        <f t="shared" si="26"/>
        <v>1902630</v>
      </c>
      <c r="C367" s="60">
        <f t="shared" si="29"/>
        <v>1902630</v>
      </c>
      <c r="D367" s="61">
        <f t="shared" si="25"/>
        <v>1</v>
      </c>
      <c r="E367" s="64">
        <f t="shared" si="27"/>
        <v>190.26297590440447</v>
      </c>
      <c r="F367" s="62" t="str">
        <f t="shared" si="28"/>
        <v/>
      </c>
    </row>
    <row r="368" spans="1:6">
      <c r="A368" s="60">
        <v>36300</v>
      </c>
      <c r="B368" s="60">
        <f t="shared" si="26"/>
        <v>1905256</v>
      </c>
      <c r="C368" s="60">
        <f t="shared" si="29"/>
        <v>1905256</v>
      </c>
      <c r="D368" s="61">
        <f t="shared" si="25"/>
        <v>1</v>
      </c>
      <c r="E368" s="64">
        <f t="shared" si="27"/>
        <v>190.52558883257649</v>
      </c>
      <c r="F368" s="62" t="str">
        <f t="shared" si="28"/>
        <v/>
      </c>
    </row>
    <row r="369" spans="1:6">
      <c r="A369" s="60">
        <v>36400</v>
      </c>
      <c r="B369" s="60">
        <f t="shared" si="26"/>
        <v>1907878</v>
      </c>
      <c r="C369" s="60">
        <f t="shared" si="29"/>
        <v>1907878</v>
      </c>
      <c r="D369" s="61">
        <f t="shared" si="25"/>
        <v>1</v>
      </c>
      <c r="E369" s="64">
        <f t="shared" si="27"/>
        <v>190.78784028338913</v>
      </c>
      <c r="F369" s="62" t="str">
        <f t="shared" si="28"/>
        <v/>
      </c>
    </row>
    <row r="370" spans="1:6">
      <c r="A370" s="60">
        <v>36500</v>
      </c>
      <c r="B370" s="60">
        <f t="shared" si="26"/>
        <v>1910497</v>
      </c>
      <c r="C370" s="60">
        <f t="shared" si="29"/>
        <v>1910497</v>
      </c>
      <c r="D370" s="61">
        <f t="shared" si="25"/>
        <v>1</v>
      </c>
      <c r="E370" s="64">
        <f t="shared" si="27"/>
        <v>191.04973174542801</v>
      </c>
      <c r="F370" s="62" t="str">
        <f t="shared" si="28"/>
        <v/>
      </c>
    </row>
    <row r="371" spans="1:6">
      <c r="A371" s="60">
        <v>36600</v>
      </c>
      <c r="B371" s="60">
        <f t="shared" si="26"/>
        <v>1913113</v>
      </c>
      <c r="C371" s="60">
        <f t="shared" si="29"/>
        <v>1913113</v>
      </c>
      <c r="D371" s="61">
        <f t="shared" si="25"/>
        <v>1</v>
      </c>
      <c r="E371" s="64">
        <f t="shared" si="27"/>
        <v>191.31126469708991</v>
      </c>
      <c r="F371" s="62" t="str">
        <f t="shared" si="28"/>
        <v/>
      </c>
    </row>
    <row r="372" spans="1:6">
      <c r="A372" s="60">
        <v>36700</v>
      </c>
      <c r="B372" s="60">
        <f t="shared" si="26"/>
        <v>1915724</v>
      </c>
      <c r="C372" s="60">
        <f t="shared" si="29"/>
        <v>1915724</v>
      </c>
      <c r="D372" s="61">
        <f t="shared" si="25"/>
        <v>1</v>
      </c>
      <c r="E372" s="64">
        <f t="shared" si="27"/>
        <v>191.57244060668017</v>
      </c>
      <c r="F372" s="62" t="str">
        <f t="shared" si="28"/>
        <v/>
      </c>
    </row>
    <row r="373" spans="1:6">
      <c r="A373" s="60">
        <v>36800</v>
      </c>
      <c r="B373" s="60">
        <f t="shared" si="26"/>
        <v>1918333</v>
      </c>
      <c r="C373" s="60">
        <f t="shared" si="29"/>
        <v>1918333</v>
      </c>
      <c r="D373" s="61">
        <f t="shared" si="25"/>
        <v>1</v>
      </c>
      <c r="E373" s="64">
        <f t="shared" si="27"/>
        <v>191.83326093250878</v>
      </c>
      <c r="F373" s="62" t="str">
        <f t="shared" si="28"/>
        <v/>
      </c>
    </row>
    <row r="374" spans="1:6">
      <c r="A374" s="60">
        <v>36900</v>
      </c>
      <c r="B374" s="60">
        <f t="shared" si="26"/>
        <v>1920937</v>
      </c>
      <c r="C374" s="60">
        <f t="shared" si="29"/>
        <v>1920937</v>
      </c>
      <c r="D374" s="61">
        <f t="shared" si="25"/>
        <v>1</v>
      </c>
      <c r="E374" s="64">
        <f t="shared" si="27"/>
        <v>192.09372712298546</v>
      </c>
      <c r="F374" s="62" t="str">
        <f t="shared" si="28"/>
        <v/>
      </c>
    </row>
    <row r="375" spans="1:6">
      <c r="A375" s="60">
        <v>37000</v>
      </c>
      <c r="B375" s="60">
        <f t="shared" si="26"/>
        <v>1923538</v>
      </c>
      <c r="C375" s="60">
        <f t="shared" si="29"/>
        <v>1923538</v>
      </c>
      <c r="D375" s="61">
        <f t="shared" si="25"/>
        <v>1</v>
      </c>
      <c r="E375" s="64">
        <f t="shared" si="27"/>
        <v>192.35384061671346</v>
      </c>
      <c r="F375" s="62" t="str">
        <f t="shared" si="28"/>
        <v/>
      </c>
    </row>
    <row r="376" spans="1:6">
      <c r="A376" s="60">
        <v>37100</v>
      </c>
      <c r="B376" s="60">
        <f t="shared" si="26"/>
        <v>1926136</v>
      </c>
      <c r="C376" s="60">
        <f t="shared" si="29"/>
        <v>1926136</v>
      </c>
      <c r="D376" s="61">
        <f t="shared" si="25"/>
        <v>1</v>
      </c>
      <c r="E376" s="64">
        <f t="shared" si="27"/>
        <v>192.61360284258222</v>
      </c>
      <c r="F376" s="62" t="str">
        <f t="shared" si="28"/>
        <v/>
      </c>
    </row>
    <row r="377" spans="1:6">
      <c r="A377" s="60">
        <v>37200</v>
      </c>
      <c r="B377" s="60">
        <f t="shared" si="26"/>
        <v>1928730</v>
      </c>
      <c r="C377" s="60">
        <f t="shared" si="29"/>
        <v>1928730</v>
      </c>
      <c r="D377" s="61">
        <f t="shared" si="25"/>
        <v>1</v>
      </c>
      <c r="E377" s="64">
        <f t="shared" si="27"/>
        <v>192.8730152198591</v>
      </c>
      <c r="F377" s="62" t="str">
        <f t="shared" si="28"/>
        <v/>
      </c>
    </row>
    <row r="378" spans="1:6">
      <c r="A378" s="60">
        <v>37300</v>
      </c>
      <c r="B378" s="60">
        <f t="shared" si="26"/>
        <v>1931321</v>
      </c>
      <c r="C378" s="60">
        <f t="shared" si="29"/>
        <v>1931321</v>
      </c>
      <c r="D378" s="61">
        <f t="shared" si="25"/>
        <v>1</v>
      </c>
      <c r="E378" s="64">
        <f t="shared" si="27"/>
        <v>193.13207915827965</v>
      </c>
      <c r="F378" s="62" t="str">
        <f t="shared" si="28"/>
        <v/>
      </c>
    </row>
    <row r="379" spans="1:6">
      <c r="A379" s="60">
        <v>37400</v>
      </c>
      <c r="B379" s="60">
        <f t="shared" si="26"/>
        <v>1933908</v>
      </c>
      <c r="C379" s="60">
        <f t="shared" si="29"/>
        <v>1933908</v>
      </c>
      <c r="D379" s="61">
        <f t="shared" si="25"/>
        <v>1</v>
      </c>
      <c r="E379" s="64">
        <f t="shared" si="27"/>
        <v>193.39079605813717</v>
      </c>
      <c r="F379" s="62" t="str">
        <f t="shared" si="28"/>
        <v/>
      </c>
    </row>
    <row r="380" spans="1:6">
      <c r="A380" s="60">
        <v>37500</v>
      </c>
      <c r="B380" s="60">
        <f t="shared" si="26"/>
        <v>1936492</v>
      </c>
      <c r="C380" s="60">
        <f t="shared" si="29"/>
        <v>1936492</v>
      </c>
      <c r="D380" s="61">
        <f t="shared" si="25"/>
        <v>1</v>
      </c>
      <c r="E380" s="64">
        <f t="shared" si="27"/>
        <v>193.64916731037084</v>
      </c>
      <c r="F380" s="62" t="str">
        <f t="shared" si="28"/>
        <v/>
      </c>
    </row>
    <row r="381" spans="1:6">
      <c r="A381" s="60">
        <v>37600</v>
      </c>
      <c r="B381" s="60">
        <f t="shared" si="26"/>
        <v>1939072</v>
      </c>
      <c r="C381" s="60">
        <f t="shared" si="29"/>
        <v>1939072</v>
      </c>
      <c r="D381" s="61">
        <f t="shared" si="25"/>
        <v>1</v>
      </c>
      <c r="E381" s="64">
        <f t="shared" si="27"/>
        <v>193.90719429665316</v>
      </c>
      <c r="F381" s="62" t="str">
        <f t="shared" si="28"/>
        <v/>
      </c>
    </row>
    <row r="382" spans="1:6">
      <c r="A382" s="60">
        <v>37700</v>
      </c>
      <c r="B382" s="60">
        <f t="shared" si="26"/>
        <v>1941649</v>
      </c>
      <c r="C382" s="60">
        <f t="shared" si="29"/>
        <v>1941649</v>
      </c>
      <c r="D382" s="61">
        <f t="shared" si="25"/>
        <v>1</v>
      </c>
      <c r="E382" s="64">
        <f t="shared" si="27"/>
        <v>194.164878389476</v>
      </c>
      <c r="F382" s="62" t="str">
        <f t="shared" si="28"/>
        <v/>
      </c>
    </row>
    <row r="383" spans="1:6">
      <c r="A383" s="60">
        <v>37800</v>
      </c>
      <c r="B383" s="60">
        <f t="shared" si="26"/>
        <v>1944222</v>
      </c>
      <c r="C383" s="60">
        <f t="shared" si="29"/>
        <v>1944222</v>
      </c>
      <c r="D383" s="61">
        <f t="shared" si="25"/>
        <v>1</v>
      </c>
      <c r="E383" s="64">
        <f t="shared" si="27"/>
        <v>194.42222095223582</v>
      </c>
      <c r="F383" s="62" t="str">
        <f t="shared" si="28"/>
        <v/>
      </c>
    </row>
    <row r="384" spans="1:6">
      <c r="A384" s="60">
        <v>37900</v>
      </c>
      <c r="B384" s="60">
        <f t="shared" si="26"/>
        <v>1946792</v>
      </c>
      <c r="C384" s="60">
        <f t="shared" si="29"/>
        <v>1946792</v>
      </c>
      <c r="D384" s="61">
        <f t="shared" si="25"/>
        <v>1</v>
      </c>
      <c r="E384" s="64">
        <f t="shared" si="27"/>
        <v>194.67922333931784</v>
      </c>
      <c r="F384" s="62" t="str">
        <f t="shared" si="28"/>
        <v/>
      </c>
    </row>
    <row r="385" spans="1:6">
      <c r="A385" s="60">
        <v>38000</v>
      </c>
      <c r="B385" s="60">
        <f t="shared" si="26"/>
        <v>1949359</v>
      </c>
      <c r="C385" s="60">
        <f t="shared" si="29"/>
        <v>1949359</v>
      </c>
      <c r="D385" s="61">
        <f t="shared" si="25"/>
        <v>1</v>
      </c>
      <c r="E385" s="64">
        <f t="shared" si="27"/>
        <v>194.93588689617928</v>
      </c>
      <c r="F385" s="62" t="str">
        <f t="shared" si="28"/>
        <v/>
      </c>
    </row>
    <row r="386" spans="1:6">
      <c r="A386" s="60">
        <v>38100</v>
      </c>
      <c r="B386" s="60">
        <f t="shared" si="26"/>
        <v>1951922</v>
      </c>
      <c r="C386" s="60">
        <f t="shared" si="29"/>
        <v>1951922</v>
      </c>
      <c r="D386" s="61">
        <f t="shared" si="25"/>
        <v>1</v>
      </c>
      <c r="E386" s="64">
        <f t="shared" si="27"/>
        <v>195.19221295943134</v>
      </c>
      <c r="F386" s="62" t="str">
        <f t="shared" si="28"/>
        <v/>
      </c>
    </row>
    <row r="387" spans="1:6">
      <c r="A387" s="60">
        <v>38200</v>
      </c>
      <c r="B387" s="60">
        <f t="shared" si="26"/>
        <v>1954482</v>
      </c>
      <c r="C387" s="60">
        <f t="shared" si="29"/>
        <v>1954482</v>
      </c>
      <c r="D387" s="61">
        <f t="shared" si="25"/>
        <v>1</v>
      </c>
      <c r="E387" s="64">
        <f t="shared" si="27"/>
        <v>195.44820285692063</v>
      </c>
      <c r="F387" s="62" t="str">
        <f t="shared" si="28"/>
        <v/>
      </c>
    </row>
    <row r="388" spans="1:6">
      <c r="A388" s="60">
        <v>38300</v>
      </c>
      <c r="B388" s="60">
        <f t="shared" si="26"/>
        <v>1957039</v>
      </c>
      <c r="C388" s="60">
        <f t="shared" si="29"/>
        <v>1957039</v>
      </c>
      <c r="D388" s="61">
        <f t="shared" si="25"/>
        <v>1</v>
      </c>
      <c r="E388" s="64">
        <f t="shared" si="27"/>
        <v>195.70385790780927</v>
      </c>
      <c r="F388" s="62" t="str">
        <f t="shared" si="28"/>
        <v/>
      </c>
    </row>
    <row r="389" spans="1:6">
      <c r="A389" s="60">
        <v>38400</v>
      </c>
      <c r="B389" s="60">
        <f t="shared" si="26"/>
        <v>1959592</v>
      </c>
      <c r="C389" s="60">
        <f t="shared" si="29"/>
        <v>1959592</v>
      </c>
      <c r="D389" s="61">
        <f t="shared" ref="D389:D452" si="30">(A389-INDEX(兵力区间,MATCH(A389,兵力区间,1)))/(INDEX(兵力区间,MATCH(A389,兵力区间,1)+1)-INDEX(兵力区间,MATCH(A389,兵力区间,1)))*((INDEX(兵力调节,MATCH(A389,兵力区间,1)+1,2)-INDEX(兵力调节,MATCH(A389,兵力区间,1),2)))+INDEX(兵力调节,MATCH(A389,兵力区间,1),2)</f>
        <v>1</v>
      </c>
      <c r="E389" s="64">
        <f t="shared" si="27"/>
        <v>195.95917942265424</v>
      </c>
      <c r="F389" s="62" t="str">
        <f t="shared" si="28"/>
        <v/>
      </c>
    </row>
    <row r="390" spans="1:6">
      <c r="A390" s="60">
        <v>38500</v>
      </c>
      <c r="B390" s="60">
        <f t="shared" si="26"/>
        <v>1962142</v>
      </c>
      <c r="C390" s="60">
        <f t="shared" si="29"/>
        <v>1962142</v>
      </c>
      <c r="D390" s="61">
        <f t="shared" si="30"/>
        <v>1</v>
      </c>
      <c r="E390" s="64">
        <f t="shared" si="27"/>
        <v>196.21416870348583</v>
      </c>
      <c r="F390" s="62" t="str">
        <f t="shared" si="28"/>
        <v/>
      </c>
    </row>
    <row r="391" spans="1:6">
      <c r="A391" s="60">
        <v>38600</v>
      </c>
      <c r="B391" s="60">
        <f t="shared" ref="B391:B454" si="31">ROUND(D391*E391*10000,0)</f>
        <v>1964688</v>
      </c>
      <c r="C391" s="60">
        <f t="shared" si="29"/>
        <v>1964688</v>
      </c>
      <c r="D391" s="61">
        <f t="shared" si="30"/>
        <v>1</v>
      </c>
      <c r="E391" s="64">
        <f t="shared" ref="E391:E454" si="32">A391^0.5</f>
        <v>196.468827043885</v>
      </c>
      <c r="F391" s="62" t="str">
        <f t="shared" si="28"/>
        <v/>
      </c>
    </row>
    <row r="392" spans="1:6">
      <c r="A392" s="60">
        <v>38700</v>
      </c>
      <c r="B392" s="60">
        <f t="shared" si="31"/>
        <v>1967232</v>
      </c>
      <c r="C392" s="60">
        <f t="shared" si="29"/>
        <v>1967232</v>
      </c>
      <c r="D392" s="61">
        <f t="shared" si="30"/>
        <v>1</v>
      </c>
      <c r="E392" s="64">
        <f t="shared" si="32"/>
        <v>196.72315572906001</v>
      </c>
      <c r="F392" s="62" t="str">
        <f t="shared" ref="F392:F455" si="33">IF(B392&lt;B391,1,"")</f>
        <v/>
      </c>
    </row>
    <row r="393" spans="1:6">
      <c r="A393" s="60">
        <v>38800</v>
      </c>
      <c r="B393" s="60">
        <f t="shared" si="31"/>
        <v>1969772</v>
      </c>
      <c r="C393" s="60">
        <f t="shared" si="29"/>
        <v>1969772</v>
      </c>
      <c r="D393" s="61">
        <f t="shared" si="30"/>
        <v>1</v>
      </c>
      <c r="E393" s="64">
        <f t="shared" si="32"/>
        <v>196.97715603592209</v>
      </c>
      <c r="F393" s="62" t="str">
        <f t="shared" si="33"/>
        <v/>
      </c>
    </row>
    <row r="394" spans="1:6">
      <c r="A394" s="60">
        <v>38900</v>
      </c>
      <c r="B394" s="60">
        <f t="shared" si="31"/>
        <v>1972308</v>
      </c>
      <c r="C394" s="60">
        <f t="shared" si="29"/>
        <v>1972308</v>
      </c>
      <c r="D394" s="61">
        <f t="shared" si="30"/>
        <v>1</v>
      </c>
      <c r="E394" s="64">
        <f t="shared" si="32"/>
        <v>197.23082923316019</v>
      </c>
      <c r="F394" s="62" t="str">
        <f t="shared" si="33"/>
        <v/>
      </c>
    </row>
    <row r="395" spans="1:6">
      <c r="A395" s="60">
        <v>39000</v>
      </c>
      <c r="B395" s="60">
        <f t="shared" si="31"/>
        <v>1974842</v>
      </c>
      <c r="C395" s="60">
        <f t="shared" ref="C395:C458" si="34">ROUND(D395*E395*10000,0)</f>
        <v>1974842</v>
      </c>
      <c r="D395" s="61">
        <f t="shared" si="30"/>
        <v>1</v>
      </c>
      <c r="E395" s="64">
        <f t="shared" si="32"/>
        <v>197.48417658131498</v>
      </c>
      <c r="F395" s="62" t="str">
        <f t="shared" si="33"/>
        <v/>
      </c>
    </row>
    <row r="396" spans="1:6">
      <c r="A396" s="60">
        <v>39100</v>
      </c>
      <c r="B396" s="60">
        <f t="shared" si="31"/>
        <v>1977372</v>
      </c>
      <c r="C396" s="60">
        <f t="shared" si="34"/>
        <v>1977372</v>
      </c>
      <c r="D396" s="61">
        <f t="shared" si="30"/>
        <v>1</v>
      </c>
      <c r="E396" s="64">
        <f t="shared" si="32"/>
        <v>197.73719933285187</v>
      </c>
      <c r="F396" s="62" t="str">
        <f t="shared" si="33"/>
        <v/>
      </c>
    </row>
    <row r="397" spans="1:6">
      <c r="A397" s="60">
        <v>39200</v>
      </c>
      <c r="B397" s="60">
        <f t="shared" si="31"/>
        <v>1979899</v>
      </c>
      <c r="C397" s="60">
        <f t="shared" si="34"/>
        <v>1979899</v>
      </c>
      <c r="D397" s="61">
        <f t="shared" si="30"/>
        <v>1</v>
      </c>
      <c r="E397" s="64">
        <f t="shared" si="32"/>
        <v>197.98989873223331</v>
      </c>
      <c r="F397" s="62" t="str">
        <f t="shared" si="33"/>
        <v/>
      </c>
    </row>
    <row r="398" spans="1:6">
      <c r="A398" s="60">
        <v>39300</v>
      </c>
      <c r="B398" s="60">
        <f t="shared" si="31"/>
        <v>1982423</v>
      </c>
      <c r="C398" s="60">
        <f t="shared" si="34"/>
        <v>1982423</v>
      </c>
      <c r="D398" s="61">
        <f t="shared" si="30"/>
        <v>1</v>
      </c>
      <c r="E398" s="64">
        <f t="shared" si="32"/>
        <v>198.24227601599009</v>
      </c>
      <c r="F398" s="62" t="str">
        <f t="shared" si="33"/>
        <v/>
      </c>
    </row>
    <row r="399" spans="1:6">
      <c r="A399" s="60">
        <v>39400</v>
      </c>
      <c r="B399" s="60">
        <f t="shared" si="31"/>
        <v>1984943</v>
      </c>
      <c r="C399" s="60">
        <f t="shared" si="34"/>
        <v>1984943</v>
      </c>
      <c r="D399" s="61">
        <f t="shared" si="30"/>
        <v>1</v>
      </c>
      <c r="E399" s="64">
        <f t="shared" si="32"/>
        <v>198.49433241279209</v>
      </c>
      <c r="F399" s="62" t="str">
        <f t="shared" si="33"/>
        <v/>
      </c>
    </row>
    <row r="400" spans="1:6">
      <c r="A400" s="60">
        <v>39500</v>
      </c>
      <c r="B400" s="60">
        <f t="shared" si="31"/>
        <v>1987461</v>
      </c>
      <c r="C400" s="60">
        <f t="shared" si="34"/>
        <v>1987461</v>
      </c>
      <c r="D400" s="61">
        <f t="shared" si="30"/>
        <v>1</v>
      </c>
      <c r="E400" s="64">
        <f t="shared" si="32"/>
        <v>198.7460691435179</v>
      </c>
      <c r="F400" s="62" t="str">
        <f t="shared" si="33"/>
        <v/>
      </c>
    </row>
    <row r="401" spans="1:6">
      <c r="A401" s="60">
        <v>39600</v>
      </c>
      <c r="B401" s="60">
        <f t="shared" si="31"/>
        <v>1989975</v>
      </c>
      <c r="C401" s="60">
        <f t="shared" si="34"/>
        <v>1989975</v>
      </c>
      <c r="D401" s="61">
        <f t="shared" si="30"/>
        <v>1</v>
      </c>
      <c r="E401" s="64">
        <f t="shared" si="32"/>
        <v>198.997487421324</v>
      </c>
      <c r="F401" s="62" t="str">
        <f t="shared" si="33"/>
        <v/>
      </c>
    </row>
    <row r="402" spans="1:6">
      <c r="A402" s="60">
        <v>39700</v>
      </c>
      <c r="B402" s="60">
        <f t="shared" si="31"/>
        <v>1992486</v>
      </c>
      <c r="C402" s="60">
        <f t="shared" si="34"/>
        <v>1992486</v>
      </c>
      <c r="D402" s="61">
        <f t="shared" si="30"/>
        <v>1</v>
      </c>
      <c r="E402" s="64">
        <f t="shared" si="32"/>
        <v>199.24858845171275</v>
      </c>
      <c r="F402" s="62" t="str">
        <f t="shared" si="33"/>
        <v/>
      </c>
    </row>
    <row r="403" spans="1:6">
      <c r="A403" s="60">
        <v>39800</v>
      </c>
      <c r="B403" s="60">
        <f t="shared" si="31"/>
        <v>1994994</v>
      </c>
      <c r="C403" s="60">
        <f t="shared" si="34"/>
        <v>1994994</v>
      </c>
      <c r="D403" s="61">
        <f t="shared" si="30"/>
        <v>1</v>
      </c>
      <c r="E403" s="64">
        <f t="shared" si="32"/>
        <v>199.49937343260004</v>
      </c>
      <c r="F403" s="62" t="str">
        <f t="shared" si="33"/>
        <v/>
      </c>
    </row>
    <row r="404" spans="1:6">
      <c r="A404" s="60">
        <v>39900</v>
      </c>
      <c r="B404" s="60">
        <f t="shared" si="31"/>
        <v>1997498</v>
      </c>
      <c r="C404" s="60">
        <f t="shared" si="34"/>
        <v>1997498</v>
      </c>
      <c r="D404" s="61">
        <f t="shared" si="30"/>
        <v>1</v>
      </c>
      <c r="E404" s="64">
        <f t="shared" si="32"/>
        <v>199.74984355438178</v>
      </c>
      <c r="F404" s="62" t="str">
        <f t="shared" si="33"/>
        <v/>
      </c>
    </row>
    <row r="405" spans="1:6">
      <c r="A405" s="60">
        <v>40000</v>
      </c>
      <c r="B405" s="60">
        <f t="shared" si="31"/>
        <v>2000000</v>
      </c>
      <c r="C405" s="60">
        <f t="shared" si="34"/>
        <v>2000000</v>
      </c>
      <c r="D405" s="61">
        <f t="shared" si="30"/>
        <v>1</v>
      </c>
      <c r="E405" s="64">
        <f t="shared" si="32"/>
        <v>200</v>
      </c>
      <c r="F405" s="62" t="str">
        <f t="shared" si="33"/>
        <v/>
      </c>
    </row>
    <row r="406" spans="1:6">
      <c r="A406" s="60">
        <v>40100</v>
      </c>
      <c r="B406" s="60">
        <f t="shared" si="31"/>
        <v>2002498</v>
      </c>
      <c r="C406" s="60">
        <f t="shared" si="34"/>
        <v>2002498</v>
      </c>
      <c r="D406" s="61">
        <f t="shared" si="30"/>
        <v>1</v>
      </c>
      <c r="E406" s="64">
        <f t="shared" si="32"/>
        <v>200.24984394500785</v>
      </c>
      <c r="F406" s="62" t="str">
        <f t="shared" si="33"/>
        <v/>
      </c>
    </row>
    <row r="407" spans="1:6">
      <c r="A407" s="60">
        <v>40200</v>
      </c>
      <c r="B407" s="60">
        <f t="shared" si="31"/>
        <v>2004994</v>
      </c>
      <c r="C407" s="60">
        <f t="shared" si="34"/>
        <v>2004994</v>
      </c>
      <c r="D407" s="61">
        <f t="shared" si="30"/>
        <v>1</v>
      </c>
      <c r="E407" s="64">
        <f t="shared" si="32"/>
        <v>200.49937655763421</v>
      </c>
      <c r="F407" s="62" t="str">
        <f t="shared" si="33"/>
        <v/>
      </c>
    </row>
    <row r="408" spans="1:6">
      <c r="A408" s="60">
        <v>40300</v>
      </c>
      <c r="B408" s="60">
        <f t="shared" si="31"/>
        <v>2007486</v>
      </c>
      <c r="C408" s="60">
        <f t="shared" si="34"/>
        <v>2007486</v>
      </c>
      <c r="D408" s="61">
        <f t="shared" si="30"/>
        <v>1</v>
      </c>
      <c r="E408" s="64">
        <f t="shared" si="32"/>
        <v>200.74859899884731</v>
      </c>
      <c r="F408" s="62" t="str">
        <f t="shared" si="33"/>
        <v/>
      </c>
    </row>
    <row r="409" spans="1:6">
      <c r="A409" s="60">
        <v>40400</v>
      </c>
      <c r="B409" s="60">
        <f t="shared" si="31"/>
        <v>2009975</v>
      </c>
      <c r="C409" s="60">
        <f t="shared" si="34"/>
        <v>2009975</v>
      </c>
      <c r="D409" s="61">
        <f t="shared" si="30"/>
        <v>1</v>
      </c>
      <c r="E409" s="64">
        <f t="shared" si="32"/>
        <v>200.9975124224178</v>
      </c>
      <c r="F409" s="62" t="str">
        <f t="shared" si="33"/>
        <v/>
      </c>
    </row>
    <row r="410" spans="1:6">
      <c r="A410" s="60">
        <v>40500</v>
      </c>
      <c r="B410" s="60">
        <f t="shared" si="31"/>
        <v>2012461</v>
      </c>
      <c r="C410" s="60">
        <f t="shared" si="34"/>
        <v>2012461</v>
      </c>
      <c r="D410" s="61">
        <f t="shared" si="30"/>
        <v>1</v>
      </c>
      <c r="E410" s="64">
        <f t="shared" si="32"/>
        <v>201.24611797498108</v>
      </c>
      <c r="F410" s="62" t="str">
        <f t="shared" si="33"/>
        <v/>
      </c>
    </row>
    <row r="411" spans="1:6">
      <c r="A411" s="60">
        <v>40600</v>
      </c>
      <c r="B411" s="60">
        <f t="shared" si="31"/>
        <v>2014944</v>
      </c>
      <c r="C411" s="60">
        <f t="shared" si="34"/>
        <v>2014944</v>
      </c>
      <c r="D411" s="61">
        <f t="shared" si="30"/>
        <v>1</v>
      </c>
      <c r="E411" s="64">
        <f t="shared" si="32"/>
        <v>201.49441679609885</v>
      </c>
      <c r="F411" s="62" t="str">
        <f t="shared" si="33"/>
        <v/>
      </c>
    </row>
    <row r="412" spans="1:6">
      <c r="A412" s="60">
        <v>40700</v>
      </c>
      <c r="B412" s="60">
        <f t="shared" si="31"/>
        <v>2017424</v>
      </c>
      <c r="C412" s="60">
        <f t="shared" si="34"/>
        <v>2017424</v>
      </c>
      <c r="D412" s="61">
        <f t="shared" si="30"/>
        <v>1</v>
      </c>
      <c r="E412" s="64">
        <f t="shared" si="32"/>
        <v>201.74241001832016</v>
      </c>
      <c r="F412" s="62" t="str">
        <f t="shared" si="33"/>
        <v/>
      </c>
    </row>
    <row r="413" spans="1:6">
      <c r="A413" s="60">
        <v>40800</v>
      </c>
      <c r="B413" s="60">
        <f t="shared" si="31"/>
        <v>2019901</v>
      </c>
      <c r="C413" s="60">
        <f t="shared" si="34"/>
        <v>2019901</v>
      </c>
      <c r="D413" s="61">
        <f t="shared" si="30"/>
        <v>1</v>
      </c>
      <c r="E413" s="64">
        <f t="shared" si="32"/>
        <v>201.99009876724156</v>
      </c>
      <c r="F413" s="62" t="str">
        <f t="shared" si="33"/>
        <v/>
      </c>
    </row>
    <row r="414" spans="1:6">
      <c r="A414" s="60">
        <v>40900</v>
      </c>
      <c r="B414" s="60">
        <f t="shared" si="31"/>
        <v>2022375</v>
      </c>
      <c r="C414" s="60">
        <f t="shared" si="34"/>
        <v>2022375</v>
      </c>
      <c r="D414" s="61">
        <f t="shared" si="30"/>
        <v>1</v>
      </c>
      <c r="E414" s="64">
        <f t="shared" si="32"/>
        <v>202.23748416156684</v>
      </c>
      <c r="F414" s="62" t="str">
        <f t="shared" si="33"/>
        <v/>
      </c>
    </row>
    <row r="415" spans="1:6">
      <c r="A415" s="60">
        <v>41000</v>
      </c>
      <c r="B415" s="60">
        <f t="shared" si="31"/>
        <v>2024846</v>
      </c>
      <c r="C415" s="60">
        <f t="shared" si="34"/>
        <v>2024846</v>
      </c>
      <c r="D415" s="61">
        <f t="shared" si="30"/>
        <v>1</v>
      </c>
      <c r="E415" s="64">
        <f t="shared" si="32"/>
        <v>202.48456731316588</v>
      </c>
      <c r="F415" s="62" t="str">
        <f t="shared" si="33"/>
        <v/>
      </c>
    </row>
    <row r="416" spans="1:6">
      <c r="A416" s="60">
        <v>41100</v>
      </c>
      <c r="B416" s="60">
        <f t="shared" si="31"/>
        <v>2027313</v>
      </c>
      <c r="C416" s="60">
        <f t="shared" si="34"/>
        <v>2027313</v>
      </c>
      <c r="D416" s="61">
        <f t="shared" si="30"/>
        <v>1</v>
      </c>
      <c r="E416" s="64">
        <f t="shared" si="32"/>
        <v>202.73134932713293</v>
      </c>
      <c r="F416" s="62" t="str">
        <f t="shared" si="33"/>
        <v/>
      </c>
    </row>
    <row r="417" spans="1:6">
      <c r="A417" s="60">
        <v>41200</v>
      </c>
      <c r="B417" s="60">
        <f t="shared" si="31"/>
        <v>2029778</v>
      </c>
      <c r="C417" s="60">
        <f t="shared" si="34"/>
        <v>2029778</v>
      </c>
      <c r="D417" s="61">
        <f t="shared" si="30"/>
        <v>1</v>
      </c>
      <c r="E417" s="64">
        <f t="shared" si="32"/>
        <v>202.97783130184439</v>
      </c>
      <c r="F417" s="62" t="str">
        <f t="shared" si="33"/>
        <v/>
      </c>
    </row>
    <row r="418" spans="1:6">
      <c r="A418" s="60">
        <v>41300</v>
      </c>
      <c r="B418" s="60">
        <f t="shared" si="31"/>
        <v>2032240</v>
      </c>
      <c r="C418" s="60">
        <f t="shared" si="34"/>
        <v>2032240</v>
      </c>
      <c r="D418" s="61">
        <f t="shared" si="30"/>
        <v>1</v>
      </c>
      <c r="E418" s="64">
        <f t="shared" si="32"/>
        <v>203.22401432901574</v>
      </c>
      <c r="F418" s="62" t="str">
        <f t="shared" si="33"/>
        <v/>
      </c>
    </row>
    <row r="419" spans="1:6">
      <c r="A419" s="60">
        <v>41400</v>
      </c>
      <c r="B419" s="60">
        <f t="shared" si="31"/>
        <v>2034699</v>
      </c>
      <c r="C419" s="60">
        <f t="shared" si="34"/>
        <v>2034699</v>
      </c>
      <c r="D419" s="61">
        <f t="shared" si="30"/>
        <v>1</v>
      </c>
      <c r="E419" s="64">
        <f t="shared" si="32"/>
        <v>203.46989949375805</v>
      </c>
      <c r="F419" s="62" t="str">
        <f t="shared" si="33"/>
        <v/>
      </c>
    </row>
    <row r="420" spans="1:6">
      <c r="A420" s="60">
        <v>41500</v>
      </c>
      <c r="B420" s="60">
        <f t="shared" si="31"/>
        <v>2037155</v>
      </c>
      <c r="C420" s="60">
        <f t="shared" si="34"/>
        <v>2037155</v>
      </c>
      <c r="D420" s="61">
        <f t="shared" si="30"/>
        <v>1</v>
      </c>
      <c r="E420" s="64">
        <f t="shared" si="32"/>
        <v>203.71548787463362</v>
      </c>
      <c r="F420" s="62" t="str">
        <f t="shared" si="33"/>
        <v/>
      </c>
    </row>
    <row r="421" spans="1:6">
      <c r="A421" s="60">
        <v>41600</v>
      </c>
      <c r="B421" s="60">
        <f t="shared" si="31"/>
        <v>2039608</v>
      </c>
      <c r="C421" s="60">
        <f t="shared" si="34"/>
        <v>2039608</v>
      </c>
      <c r="D421" s="61">
        <f t="shared" si="30"/>
        <v>1</v>
      </c>
      <c r="E421" s="64">
        <f t="shared" si="32"/>
        <v>203.96078054371139</v>
      </c>
      <c r="F421" s="62" t="str">
        <f t="shared" si="33"/>
        <v/>
      </c>
    </row>
    <row r="422" spans="1:6">
      <c r="A422" s="60">
        <v>41700</v>
      </c>
      <c r="B422" s="60">
        <f t="shared" si="31"/>
        <v>2042058</v>
      </c>
      <c r="C422" s="60">
        <f t="shared" si="34"/>
        <v>2042058</v>
      </c>
      <c r="D422" s="61">
        <f t="shared" si="30"/>
        <v>1</v>
      </c>
      <c r="E422" s="64">
        <f t="shared" si="32"/>
        <v>204.20577856662138</v>
      </c>
      <c r="F422" s="62" t="str">
        <f t="shared" si="33"/>
        <v/>
      </c>
    </row>
    <row r="423" spans="1:6">
      <c r="A423" s="60">
        <v>41800</v>
      </c>
      <c r="B423" s="60">
        <f t="shared" si="31"/>
        <v>2044505</v>
      </c>
      <c r="C423" s="60">
        <f t="shared" si="34"/>
        <v>2044505</v>
      </c>
      <c r="D423" s="61">
        <f t="shared" si="30"/>
        <v>1</v>
      </c>
      <c r="E423" s="64">
        <f t="shared" si="32"/>
        <v>204.45048300260873</v>
      </c>
      <c r="F423" s="62" t="str">
        <f t="shared" si="33"/>
        <v/>
      </c>
    </row>
    <row r="424" spans="1:6">
      <c r="A424" s="60">
        <v>41900</v>
      </c>
      <c r="B424" s="60">
        <f t="shared" si="31"/>
        <v>2046949</v>
      </c>
      <c r="C424" s="60">
        <f t="shared" si="34"/>
        <v>2046949</v>
      </c>
      <c r="D424" s="61">
        <f t="shared" si="30"/>
        <v>1</v>
      </c>
      <c r="E424" s="64">
        <f t="shared" si="32"/>
        <v>204.69489490458722</v>
      </c>
      <c r="F424" s="62" t="str">
        <f t="shared" si="33"/>
        <v/>
      </c>
    </row>
    <row r="425" spans="1:6">
      <c r="A425" s="60">
        <v>42000</v>
      </c>
      <c r="B425" s="60">
        <f t="shared" si="31"/>
        <v>2049390</v>
      </c>
      <c r="C425" s="60">
        <f t="shared" si="34"/>
        <v>2049390</v>
      </c>
      <c r="D425" s="61">
        <f t="shared" si="30"/>
        <v>1</v>
      </c>
      <c r="E425" s="64">
        <f t="shared" si="32"/>
        <v>204.93901531919198</v>
      </c>
      <c r="F425" s="62" t="str">
        <f t="shared" si="33"/>
        <v/>
      </c>
    </row>
    <row r="426" spans="1:6">
      <c r="A426" s="60">
        <v>42100</v>
      </c>
      <c r="B426" s="60">
        <f t="shared" si="31"/>
        <v>2051828</v>
      </c>
      <c r="C426" s="60">
        <f t="shared" si="34"/>
        <v>2051828</v>
      </c>
      <c r="D426" s="61">
        <f t="shared" si="30"/>
        <v>1</v>
      </c>
      <c r="E426" s="64">
        <f t="shared" si="32"/>
        <v>205.18284528683191</v>
      </c>
      <c r="F426" s="62" t="str">
        <f t="shared" si="33"/>
        <v/>
      </c>
    </row>
    <row r="427" spans="1:6">
      <c r="A427" s="60">
        <v>42200</v>
      </c>
      <c r="B427" s="60">
        <f t="shared" si="31"/>
        <v>2054264</v>
      </c>
      <c r="C427" s="60">
        <f t="shared" si="34"/>
        <v>2054264</v>
      </c>
      <c r="D427" s="61">
        <f t="shared" si="30"/>
        <v>1</v>
      </c>
      <c r="E427" s="64">
        <f t="shared" si="32"/>
        <v>205.42638584174136</v>
      </c>
      <c r="F427" s="62" t="str">
        <f t="shared" si="33"/>
        <v/>
      </c>
    </row>
    <row r="428" spans="1:6">
      <c r="A428" s="60">
        <v>42300</v>
      </c>
      <c r="B428" s="60">
        <f t="shared" si="31"/>
        <v>2056696</v>
      </c>
      <c r="C428" s="60">
        <f t="shared" si="34"/>
        <v>2056696</v>
      </c>
      <c r="D428" s="61">
        <f t="shared" si="30"/>
        <v>1</v>
      </c>
      <c r="E428" s="64">
        <f t="shared" si="32"/>
        <v>205.66963801203133</v>
      </c>
      <c r="F428" s="62" t="str">
        <f t="shared" si="33"/>
        <v/>
      </c>
    </row>
    <row r="429" spans="1:6">
      <c r="A429" s="60">
        <v>42400</v>
      </c>
      <c r="B429" s="60">
        <f t="shared" si="31"/>
        <v>2059126</v>
      </c>
      <c r="C429" s="60">
        <f t="shared" si="34"/>
        <v>2059126</v>
      </c>
      <c r="D429" s="61">
        <f t="shared" si="30"/>
        <v>1</v>
      </c>
      <c r="E429" s="64">
        <f t="shared" si="32"/>
        <v>205.91260281974002</v>
      </c>
      <c r="F429" s="62" t="str">
        <f t="shared" si="33"/>
        <v/>
      </c>
    </row>
    <row r="430" spans="1:6">
      <c r="A430" s="60">
        <v>42500</v>
      </c>
      <c r="B430" s="60">
        <f t="shared" si="31"/>
        <v>2061553</v>
      </c>
      <c r="C430" s="60">
        <f t="shared" si="34"/>
        <v>2061553</v>
      </c>
      <c r="D430" s="61">
        <f t="shared" si="30"/>
        <v>1</v>
      </c>
      <c r="E430" s="64">
        <f t="shared" si="32"/>
        <v>206.15528128088303</v>
      </c>
      <c r="F430" s="62" t="str">
        <f t="shared" si="33"/>
        <v/>
      </c>
    </row>
    <row r="431" spans="1:6">
      <c r="A431" s="60">
        <v>42600</v>
      </c>
      <c r="B431" s="60">
        <f t="shared" si="31"/>
        <v>2063977</v>
      </c>
      <c r="C431" s="60">
        <f t="shared" si="34"/>
        <v>2063977</v>
      </c>
      <c r="D431" s="61">
        <f t="shared" si="30"/>
        <v>1</v>
      </c>
      <c r="E431" s="64">
        <f t="shared" si="32"/>
        <v>206.39767440550293</v>
      </c>
      <c r="F431" s="62" t="str">
        <f t="shared" si="33"/>
        <v/>
      </c>
    </row>
    <row r="432" spans="1:6">
      <c r="A432" s="60">
        <v>42700</v>
      </c>
      <c r="B432" s="60">
        <f t="shared" si="31"/>
        <v>2066398</v>
      </c>
      <c r="C432" s="60">
        <f t="shared" si="34"/>
        <v>2066398</v>
      </c>
      <c r="D432" s="61">
        <f t="shared" si="30"/>
        <v>1</v>
      </c>
      <c r="E432" s="64">
        <f t="shared" si="32"/>
        <v>206.63978319771826</v>
      </c>
      <c r="F432" s="62" t="str">
        <f t="shared" si="33"/>
        <v/>
      </c>
    </row>
    <row r="433" spans="1:6">
      <c r="A433" s="60">
        <v>42800</v>
      </c>
      <c r="B433" s="60">
        <f t="shared" si="31"/>
        <v>2068816</v>
      </c>
      <c r="C433" s="60">
        <f t="shared" si="34"/>
        <v>2068816</v>
      </c>
      <c r="D433" s="61">
        <f t="shared" si="30"/>
        <v>1</v>
      </c>
      <c r="E433" s="64">
        <f t="shared" si="32"/>
        <v>206.881608655772</v>
      </c>
      <c r="F433" s="62" t="str">
        <f t="shared" si="33"/>
        <v/>
      </c>
    </row>
    <row r="434" spans="1:6">
      <c r="A434" s="60">
        <v>42900</v>
      </c>
      <c r="B434" s="60">
        <f t="shared" si="31"/>
        <v>2071232</v>
      </c>
      <c r="C434" s="60">
        <f t="shared" si="34"/>
        <v>2071232</v>
      </c>
      <c r="D434" s="61">
        <f t="shared" si="30"/>
        <v>1</v>
      </c>
      <c r="E434" s="64">
        <f t="shared" si="32"/>
        <v>207.12315177207978</v>
      </c>
      <c r="F434" s="62" t="str">
        <f t="shared" si="33"/>
        <v/>
      </c>
    </row>
    <row r="435" spans="1:6">
      <c r="A435" s="60">
        <v>43000</v>
      </c>
      <c r="B435" s="60">
        <f t="shared" si="31"/>
        <v>2073644</v>
      </c>
      <c r="C435" s="60">
        <f t="shared" si="34"/>
        <v>2073644</v>
      </c>
      <c r="D435" s="61">
        <f t="shared" si="30"/>
        <v>1</v>
      </c>
      <c r="E435" s="64">
        <f t="shared" si="32"/>
        <v>207.3644135332772</v>
      </c>
      <c r="F435" s="62" t="str">
        <f t="shared" si="33"/>
        <v/>
      </c>
    </row>
    <row r="436" spans="1:6">
      <c r="A436" s="60">
        <v>43100</v>
      </c>
      <c r="B436" s="60">
        <f t="shared" si="31"/>
        <v>2076054</v>
      </c>
      <c r="C436" s="60">
        <f t="shared" si="34"/>
        <v>2076054</v>
      </c>
      <c r="D436" s="61">
        <f t="shared" si="30"/>
        <v>1</v>
      </c>
      <c r="E436" s="64">
        <f t="shared" si="32"/>
        <v>207.60539492026695</v>
      </c>
      <c r="F436" s="62" t="str">
        <f t="shared" si="33"/>
        <v/>
      </c>
    </row>
    <row r="437" spans="1:6">
      <c r="A437" s="60">
        <v>43200</v>
      </c>
      <c r="B437" s="60">
        <f t="shared" si="31"/>
        <v>2078461</v>
      </c>
      <c r="C437" s="60">
        <f t="shared" si="34"/>
        <v>2078461</v>
      </c>
      <c r="D437" s="61">
        <f t="shared" si="30"/>
        <v>1</v>
      </c>
      <c r="E437" s="64">
        <f t="shared" si="32"/>
        <v>207.84609690826528</v>
      </c>
      <c r="F437" s="62" t="str">
        <f t="shared" si="33"/>
        <v/>
      </c>
    </row>
    <row r="438" spans="1:6">
      <c r="A438" s="60">
        <v>43300</v>
      </c>
      <c r="B438" s="60">
        <f t="shared" si="31"/>
        <v>2080865</v>
      </c>
      <c r="C438" s="60">
        <f t="shared" si="34"/>
        <v>2080865</v>
      </c>
      <c r="D438" s="61">
        <f t="shared" si="30"/>
        <v>1</v>
      </c>
      <c r="E438" s="64">
        <f t="shared" si="32"/>
        <v>208.08652046684813</v>
      </c>
      <c r="F438" s="62" t="str">
        <f t="shared" si="33"/>
        <v/>
      </c>
    </row>
    <row r="439" spans="1:6">
      <c r="A439" s="60">
        <v>43400</v>
      </c>
      <c r="B439" s="60">
        <f t="shared" si="31"/>
        <v>2083267</v>
      </c>
      <c r="C439" s="60">
        <f t="shared" si="34"/>
        <v>2083267</v>
      </c>
      <c r="D439" s="61">
        <f t="shared" si="30"/>
        <v>1</v>
      </c>
      <c r="E439" s="64">
        <f t="shared" si="32"/>
        <v>208.3266665599966</v>
      </c>
      <c r="F439" s="62" t="str">
        <f t="shared" si="33"/>
        <v/>
      </c>
    </row>
    <row r="440" spans="1:6">
      <c r="A440" s="60">
        <v>43500</v>
      </c>
      <c r="B440" s="60">
        <f t="shared" si="31"/>
        <v>2085665</v>
      </c>
      <c r="C440" s="60">
        <f t="shared" si="34"/>
        <v>2085665</v>
      </c>
      <c r="D440" s="61">
        <f t="shared" si="30"/>
        <v>1</v>
      </c>
      <c r="E440" s="64">
        <f t="shared" si="32"/>
        <v>208.56653614614211</v>
      </c>
      <c r="F440" s="62" t="str">
        <f t="shared" si="33"/>
        <v/>
      </c>
    </row>
    <row r="441" spans="1:6">
      <c r="A441" s="60">
        <v>43600</v>
      </c>
      <c r="B441" s="60">
        <f t="shared" si="31"/>
        <v>2088061</v>
      </c>
      <c r="C441" s="60">
        <f t="shared" si="34"/>
        <v>2088061</v>
      </c>
      <c r="D441" s="61">
        <f t="shared" si="30"/>
        <v>1</v>
      </c>
      <c r="E441" s="64">
        <f t="shared" si="32"/>
        <v>208.80613017821099</v>
      </c>
      <c r="F441" s="62" t="str">
        <f t="shared" si="33"/>
        <v/>
      </c>
    </row>
    <row r="442" spans="1:6">
      <c r="A442" s="60">
        <v>43700</v>
      </c>
      <c r="B442" s="60">
        <f t="shared" si="31"/>
        <v>2090454</v>
      </c>
      <c r="C442" s="60">
        <f t="shared" si="34"/>
        <v>2090454</v>
      </c>
      <c r="D442" s="61">
        <f t="shared" si="30"/>
        <v>1</v>
      </c>
      <c r="E442" s="64">
        <f t="shared" si="32"/>
        <v>209.04544960366871</v>
      </c>
      <c r="F442" s="62" t="str">
        <f t="shared" si="33"/>
        <v/>
      </c>
    </row>
    <row r="443" spans="1:6">
      <c r="A443" s="60">
        <v>43800</v>
      </c>
      <c r="B443" s="60">
        <f t="shared" si="31"/>
        <v>2092845</v>
      </c>
      <c r="C443" s="60">
        <f t="shared" si="34"/>
        <v>2092845</v>
      </c>
      <c r="D443" s="61">
        <f t="shared" si="30"/>
        <v>1</v>
      </c>
      <c r="E443" s="64">
        <f t="shared" si="32"/>
        <v>209.2844953645635</v>
      </c>
      <c r="F443" s="62" t="str">
        <f t="shared" si="33"/>
        <v/>
      </c>
    </row>
    <row r="444" spans="1:6">
      <c r="A444" s="60">
        <v>43900</v>
      </c>
      <c r="B444" s="60">
        <f t="shared" si="31"/>
        <v>2095233</v>
      </c>
      <c r="C444" s="60">
        <f t="shared" si="34"/>
        <v>2095233</v>
      </c>
      <c r="D444" s="61">
        <f t="shared" si="30"/>
        <v>1</v>
      </c>
      <c r="E444" s="64">
        <f t="shared" si="32"/>
        <v>209.52326839756964</v>
      </c>
      <c r="F444" s="62" t="str">
        <f t="shared" si="33"/>
        <v/>
      </c>
    </row>
    <row r="445" spans="1:6">
      <c r="A445" s="60">
        <v>44000</v>
      </c>
      <c r="B445" s="60">
        <f t="shared" si="31"/>
        <v>2097618</v>
      </c>
      <c r="C445" s="60">
        <f t="shared" si="34"/>
        <v>2097618</v>
      </c>
      <c r="D445" s="61">
        <f t="shared" si="30"/>
        <v>1</v>
      </c>
      <c r="E445" s="64">
        <f t="shared" si="32"/>
        <v>209.76176963403032</v>
      </c>
      <c r="F445" s="62" t="str">
        <f t="shared" si="33"/>
        <v/>
      </c>
    </row>
    <row r="446" spans="1:6">
      <c r="A446" s="60">
        <v>44100</v>
      </c>
      <c r="B446" s="60">
        <f t="shared" si="31"/>
        <v>2100000</v>
      </c>
      <c r="C446" s="60">
        <f t="shared" si="34"/>
        <v>2100000</v>
      </c>
      <c r="D446" s="61">
        <f t="shared" si="30"/>
        <v>1</v>
      </c>
      <c r="E446" s="64">
        <f t="shared" si="32"/>
        <v>210</v>
      </c>
      <c r="F446" s="62" t="str">
        <f t="shared" si="33"/>
        <v/>
      </c>
    </row>
    <row r="447" spans="1:6">
      <c r="A447" s="60">
        <v>44200</v>
      </c>
      <c r="B447" s="60">
        <f t="shared" si="31"/>
        <v>2102380</v>
      </c>
      <c r="C447" s="60">
        <f t="shared" si="34"/>
        <v>2102380</v>
      </c>
      <c r="D447" s="61">
        <f t="shared" si="30"/>
        <v>1</v>
      </c>
      <c r="E447" s="64">
        <f t="shared" si="32"/>
        <v>210.23796041628637</v>
      </c>
      <c r="F447" s="62" t="str">
        <f t="shared" si="33"/>
        <v/>
      </c>
    </row>
    <row r="448" spans="1:6">
      <c r="A448" s="60">
        <v>44300</v>
      </c>
      <c r="B448" s="60">
        <f t="shared" si="31"/>
        <v>2104757</v>
      </c>
      <c r="C448" s="60">
        <f t="shared" si="34"/>
        <v>2104757</v>
      </c>
      <c r="D448" s="61">
        <f t="shared" si="30"/>
        <v>1</v>
      </c>
      <c r="E448" s="64">
        <f t="shared" si="32"/>
        <v>210.4756517984919</v>
      </c>
      <c r="F448" s="62" t="str">
        <f t="shared" si="33"/>
        <v/>
      </c>
    </row>
    <row r="449" spans="1:6">
      <c r="A449" s="60">
        <v>44400</v>
      </c>
      <c r="B449" s="60">
        <f t="shared" si="31"/>
        <v>2107131</v>
      </c>
      <c r="C449" s="60">
        <f t="shared" si="34"/>
        <v>2107131</v>
      </c>
      <c r="D449" s="61">
        <f t="shared" si="30"/>
        <v>1</v>
      </c>
      <c r="E449" s="64">
        <f t="shared" si="32"/>
        <v>210.71307505705477</v>
      </c>
      <c r="F449" s="62" t="str">
        <f t="shared" si="33"/>
        <v/>
      </c>
    </row>
    <row r="450" spans="1:6">
      <c r="A450" s="60">
        <v>44500</v>
      </c>
      <c r="B450" s="60">
        <f t="shared" si="31"/>
        <v>2109502</v>
      </c>
      <c r="C450" s="60">
        <f t="shared" si="34"/>
        <v>2109502</v>
      </c>
      <c r="D450" s="61">
        <f t="shared" si="30"/>
        <v>1</v>
      </c>
      <c r="E450" s="64">
        <f t="shared" si="32"/>
        <v>210.95023109728987</v>
      </c>
      <c r="F450" s="62" t="str">
        <f t="shared" si="33"/>
        <v/>
      </c>
    </row>
    <row r="451" spans="1:6">
      <c r="A451" s="60">
        <v>44600</v>
      </c>
      <c r="B451" s="60">
        <f t="shared" si="31"/>
        <v>2111871</v>
      </c>
      <c r="C451" s="60">
        <f t="shared" si="34"/>
        <v>2111871</v>
      </c>
      <c r="D451" s="61">
        <f t="shared" si="30"/>
        <v>1</v>
      </c>
      <c r="E451" s="64">
        <f t="shared" si="32"/>
        <v>211.18712081942877</v>
      </c>
      <c r="F451" s="62" t="str">
        <f t="shared" si="33"/>
        <v/>
      </c>
    </row>
    <row r="452" spans="1:6">
      <c r="A452" s="60">
        <v>44700</v>
      </c>
      <c r="B452" s="60">
        <f t="shared" si="31"/>
        <v>2114237</v>
      </c>
      <c r="C452" s="60">
        <f t="shared" si="34"/>
        <v>2114237</v>
      </c>
      <c r="D452" s="61">
        <f t="shared" si="30"/>
        <v>1</v>
      </c>
      <c r="E452" s="64">
        <f t="shared" si="32"/>
        <v>211.42374511865975</v>
      </c>
      <c r="F452" s="62" t="str">
        <f t="shared" si="33"/>
        <v/>
      </c>
    </row>
    <row r="453" spans="1:6">
      <c r="A453" s="60">
        <v>44800</v>
      </c>
      <c r="B453" s="60">
        <f t="shared" si="31"/>
        <v>2116601</v>
      </c>
      <c r="C453" s="60">
        <f t="shared" si="34"/>
        <v>2116601</v>
      </c>
      <c r="D453" s="61">
        <f t="shared" ref="D453:D516" si="35">(A453-INDEX(兵力区间,MATCH(A453,兵力区间,1)))/(INDEX(兵力区间,MATCH(A453,兵力区间,1)+1)-INDEX(兵力区间,MATCH(A453,兵力区间,1)))*((INDEX(兵力调节,MATCH(A453,兵力区间,1)+1,2)-INDEX(兵力调节,MATCH(A453,兵力区间,1),2)))+INDEX(兵力调节,MATCH(A453,兵力区间,1),2)</f>
        <v>1</v>
      </c>
      <c r="E453" s="64">
        <f t="shared" si="32"/>
        <v>211.66010488516724</v>
      </c>
      <c r="F453" s="62" t="str">
        <f t="shared" si="33"/>
        <v/>
      </c>
    </row>
    <row r="454" spans="1:6">
      <c r="A454" s="60">
        <v>44900</v>
      </c>
      <c r="B454" s="60">
        <f t="shared" si="31"/>
        <v>2118962</v>
      </c>
      <c r="C454" s="60">
        <f t="shared" si="34"/>
        <v>2118962</v>
      </c>
      <c r="D454" s="61">
        <f t="shared" si="35"/>
        <v>1</v>
      </c>
      <c r="E454" s="64">
        <f t="shared" si="32"/>
        <v>211.8962010041709</v>
      </c>
      <c r="F454" s="62" t="str">
        <f t="shared" si="33"/>
        <v/>
      </c>
    </row>
    <row r="455" spans="1:6">
      <c r="A455" s="60">
        <v>45000</v>
      </c>
      <c r="B455" s="60">
        <f t="shared" ref="B455:B518" si="36">ROUND(D455*E455*10000,0)</f>
        <v>2121320</v>
      </c>
      <c r="C455" s="60">
        <f t="shared" si="34"/>
        <v>2121320</v>
      </c>
      <c r="D455" s="61">
        <f t="shared" si="35"/>
        <v>1</v>
      </c>
      <c r="E455" s="64">
        <f t="shared" ref="E455:E518" si="37">A455^0.5</f>
        <v>212.13203435596427</v>
      </c>
      <c r="F455" s="62" t="str">
        <f t="shared" si="33"/>
        <v/>
      </c>
    </row>
    <row r="456" spans="1:6">
      <c r="A456" s="60">
        <v>45100</v>
      </c>
      <c r="B456" s="60">
        <f t="shared" si="36"/>
        <v>2123676</v>
      </c>
      <c r="C456" s="60">
        <f t="shared" si="34"/>
        <v>2123676</v>
      </c>
      <c r="D456" s="61">
        <f t="shared" si="35"/>
        <v>1</v>
      </c>
      <c r="E456" s="64">
        <f t="shared" si="37"/>
        <v>212.36760581595303</v>
      </c>
      <c r="F456" s="62" t="str">
        <f t="shared" ref="F456:F519" si="38">IF(B456&lt;B455,1,"")</f>
        <v/>
      </c>
    </row>
    <row r="457" spans="1:6">
      <c r="A457" s="60">
        <v>45200</v>
      </c>
      <c r="B457" s="60">
        <f t="shared" si="36"/>
        <v>2126029</v>
      </c>
      <c r="C457" s="60">
        <f t="shared" si="34"/>
        <v>2126029</v>
      </c>
      <c r="D457" s="61">
        <f t="shared" si="35"/>
        <v>1</v>
      </c>
      <c r="E457" s="64">
        <f t="shared" si="37"/>
        <v>212.60291625469299</v>
      </c>
      <c r="F457" s="62" t="str">
        <f t="shared" si="38"/>
        <v/>
      </c>
    </row>
    <row r="458" spans="1:6">
      <c r="A458" s="60">
        <v>45300</v>
      </c>
      <c r="B458" s="60">
        <f t="shared" si="36"/>
        <v>2128380</v>
      </c>
      <c r="C458" s="60">
        <f t="shared" si="34"/>
        <v>2128380</v>
      </c>
      <c r="D458" s="61">
        <f t="shared" si="35"/>
        <v>1</v>
      </c>
      <c r="E458" s="64">
        <f t="shared" si="37"/>
        <v>212.83796653792763</v>
      </c>
      <c r="F458" s="62" t="str">
        <f t="shared" si="38"/>
        <v/>
      </c>
    </row>
    <row r="459" spans="1:6">
      <c r="A459" s="60">
        <v>45400</v>
      </c>
      <c r="B459" s="60">
        <f t="shared" si="36"/>
        <v>2130728</v>
      </c>
      <c r="C459" s="60">
        <f t="shared" ref="C459:C522" si="39">ROUND(D459*E459*10000,0)</f>
        <v>2130728</v>
      </c>
      <c r="D459" s="61">
        <f t="shared" si="35"/>
        <v>1</v>
      </c>
      <c r="E459" s="64">
        <f t="shared" si="37"/>
        <v>213.07275752662517</v>
      </c>
      <c r="F459" s="62" t="str">
        <f t="shared" si="38"/>
        <v/>
      </c>
    </row>
    <row r="460" spans="1:6">
      <c r="A460" s="60">
        <v>45500</v>
      </c>
      <c r="B460" s="60">
        <f t="shared" si="36"/>
        <v>2133073</v>
      </c>
      <c r="C460" s="60">
        <f t="shared" si="39"/>
        <v>2133073</v>
      </c>
      <c r="D460" s="61">
        <f t="shared" si="35"/>
        <v>1</v>
      </c>
      <c r="E460" s="64">
        <f t="shared" si="37"/>
        <v>213.30729007701541</v>
      </c>
      <c r="F460" s="62" t="str">
        <f t="shared" si="38"/>
        <v/>
      </c>
    </row>
    <row r="461" spans="1:6">
      <c r="A461" s="60">
        <v>45600</v>
      </c>
      <c r="B461" s="60">
        <f t="shared" si="36"/>
        <v>2135416</v>
      </c>
      <c r="C461" s="60">
        <f t="shared" si="39"/>
        <v>2135416</v>
      </c>
      <c r="D461" s="61">
        <f t="shared" si="35"/>
        <v>1</v>
      </c>
      <c r="E461" s="64">
        <f t="shared" si="37"/>
        <v>213.54156504062621</v>
      </c>
      <c r="F461" s="62" t="str">
        <f t="shared" si="38"/>
        <v/>
      </c>
    </row>
    <row r="462" spans="1:6">
      <c r="A462" s="60">
        <v>45700</v>
      </c>
      <c r="B462" s="60">
        <f t="shared" si="36"/>
        <v>2137756</v>
      </c>
      <c r="C462" s="60">
        <f t="shared" si="39"/>
        <v>2137756</v>
      </c>
      <c r="D462" s="61">
        <f t="shared" si="35"/>
        <v>1</v>
      </c>
      <c r="E462" s="64">
        <f t="shared" si="37"/>
        <v>213.77558326431949</v>
      </c>
      <c r="F462" s="62" t="str">
        <f t="shared" si="38"/>
        <v/>
      </c>
    </row>
    <row r="463" spans="1:6">
      <c r="A463" s="60">
        <v>45800</v>
      </c>
      <c r="B463" s="60">
        <f t="shared" si="36"/>
        <v>2140093</v>
      </c>
      <c r="C463" s="60">
        <f t="shared" si="39"/>
        <v>2140093</v>
      </c>
      <c r="D463" s="61">
        <f t="shared" si="35"/>
        <v>1</v>
      </c>
      <c r="E463" s="64">
        <f t="shared" si="37"/>
        <v>214.00934559032697</v>
      </c>
      <c r="F463" s="62" t="str">
        <f t="shared" si="38"/>
        <v/>
      </c>
    </row>
    <row r="464" spans="1:6">
      <c r="A464" s="60">
        <v>45900</v>
      </c>
      <c r="B464" s="60">
        <f t="shared" si="36"/>
        <v>2142429</v>
      </c>
      <c r="C464" s="60">
        <f t="shared" si="39"/>
        <v>2142429</v>
      </c>
      <c r="D464" s="61">
        <f t="shared" si="35"/>
        <v>1</v>
      </c>
      <c r="E464" s="64">
        <f t="shared" si="37"/>
        <v>214.24285285628551</v>
      </c>
      <c r="F464" s="62" t="str">
        <f t="shared" si="38"/>
        <v/>
      </c>
    </row>
    <row r="465" spans="1:6">
      <c r="A465" s="60">
        <v>46000</v>
      </c>
      <c r="B465" s="60">
        <f t="shared" si="36"/>
        <v>2144761</v>
      </c>
      <c r="C465" s="60">
        <f t="shared" si="39"/>
        <v>2144761</v>
      </c>
      <c r="D465" s="61">
        <f t="shared" si="35"/>
        <v>1</v>
      </c>
      <c r="E465" s="64">
        <f t="shared" si="37"/>
        <v>214.47610589527216</v>
      </c>
      <c r="F465" s="62" t="str">
        <f t="shared" si="38"/>
        <v/>
      </c>
    </row>
    <row r="466" spans="1:6">
      <c r="A466" s="60">
        <v>46100</v>
      </c>
      <c r="B466" s="60">
        <f t="shared" si="36"/>
        <v>2147091</v>
      </c>
      <c r="C466" s="60">
        <f t="shared" si="39"/>
        <v>2147091</v>
      </c>
      <c r="D466" s="61">
        <f t="shared" si="35"/>
        <v>1</v>
      </c>
      <c r="E466" s="64">
        <f t="shared" si="37"/>
        <v>214.70910553583889</v>
      </c>
      <c r="F466" s="62" t="str">
        <f t="shared" si="38"/>
        <v/>
      </c>
    </row>
    <row r="467" spans="1:6">
      <c r="A467" s="60">
        <v>46200</v>
      </c>
      <c r="B467" s="60">
        <f t="shared" si="36"/>
        <v>2149419</v>
      </c>
      <c r="C467" s="60">
        <f t="shared" si="39"/>
        <v>2149419</v>
      </c>
      <c r="D467" s="61">
        <f t="shared" si="35"/>
        <v>1</v>
      </c>
      <c r="E467" s="64">
        <f t="shared" si="37"/>
        <v>214.94185260204677</v>
      </c>
      <c r="F467" s="62" t="str">
        <f t="shared" si="38"/>
        <v/>
      </c>
    </row>
    <row r="468" spans="1:6">
      <c r="A468" s="60">
        <v>46300</v>
      </c>
      <c r="B468" s="60">
        <f t="shared" si="36"/>
        <v>2151743</v>
      </c>
      <c r="C468" s="60">
        <f t="shared" si="39"/>
        <v>2151743</v>
      </c>
      <c r="D468" s="61">
        <f t="shared" si="35"/>
        <v>1</v>
      </c>
      <c r="E468" s="64">
        <f t="shared" si="37"/>
        <v>215.17434791350013</v>
      </c>
      <c r="F468" s="62" t="str">
        <f t="shared" si="38"/>
        <v/>
      </c>
    </row>
    <row r="469" spans="1:6">
      <c r="A469" s="60">
        <v>46400</v>
      </c>
      <c r="B469" s="60">
        <f t="shared" si="36"/>
        <v>2154066</v>
      </c>
      <c r="C469" s="60">
        <f t="shared" si="39"/>
        <v>2154066</v>
      </c>
      <c r="D469" s="61">
        <f t="shared" si="35"/>
        <v>1</v>
      </c>
      <c r="E469" s="64">
        <f t="shared" si="37"/>
        <v>215.40659228538016</v>
      </c>
      <c r="F469" s="62" t="str">
        <f t="shared" si="38"/>
        <v/>
      </c>
    </row>
    <row r="470" spans="1:6">
      <c r="A470" s="60">
        <v>46500</v>
      </c>
      <c r="B470" s="60">
        <f t="shared" si="36"/>
        <v>2156386</v>
      </c>
      <c r="C470" s="60">
        <f t="shared" si="39"/>
        <v>2156386</v>
      </c>
      <c r="D470" s="61">
        <f t="shared" si="35"/>
        <v>1</v>
      </c>
      <c r="E470" s="64">
        <f t="shared" si="37"/>
        <v>215.63858652847824</v>
      </c>
      <c r="F470" s="62" t="str">
        <f t="shared" si="38"/>
        <v/>
      </c>
    </row>
    <row r="471" spans="1:6">
      <c r="A471" s="60">
        <v>46600</v>
      </c>
      <c r="B471" s="60">
        <f t="shared" si="36"/>
        <v>2158703</v>
      </c>
      <c r="C471" s="60">
        <f t="shared" si="39"/>
        <v>2158703</v>
      </c>
      <c r="D471" s="61">
        <f t="shared" si="35"/>
        <v>1</v>
      </c>
      <c r="E471" s="64">
        <f t="shared" si="37"/>
        <v>215.87033144922904</v>
      </c>
      <c r="F471" s="62" t="str">
        <f t="shared" si="38"/>
        <v/>
      </c>
    </row>
    <row r="472" spans="1:6">
      <c r="A472" s="60">
        <v>46700</v>
      </c>
      <c r="B472" s="60">
        <f t="shared" si="36"/>
        <v>2161018</v>
      </c>
      <c r="C472" s="60">
        <f t="shared" si="39"/>
        <v>2161018</v>
      </c>
      <c r="D472" s="61">
        <f t="shared" si="35"/>
        <v>1</v>
      </c>
      <c r="E472" s="64">
        <f t="shared" si="37"/>
        <v>216.1018278497431</v>
      </c>
      <c r="F472" s="62" t="str">
        <f t="shared" si="38"/>
        <v/>
      </c>
    </row>
    <row r="473" spans="1:6">
      <c r="A473" s="60">
        <v>46800</v>
      </c>
      <c r="B473" s="60">
        <f t="shared" si="36"/>
        <v>2163331</v>
      </c>
      <c r="C473" s="60">
        <f t="shared" si="39"/>
        <v>2163331</v>
      </c>
      <c r="D473" s="61">
        <f t="shared" si="35"/>
        <v>1</v>
      </c>
      <c r="E473" s="64">
        <f t="shared" si="37"/>
        <v>216.33307652783935</v>
      </c>
      <c r="F473" s="62" t="str">
        <f t="shared" si="38"/>
        <v/>
      </c>
    </row>
    <row r="474" spans="1:6">
      <c r="A474" s="60">
        <v>46900</v>
      </c>
      <c r="B474" s="60">
        <f t="shared" si="36"/>
        <v>2165641</v>
      </c>
      <c r="C474" s="60">
        <f t="shared" si="39"/>
        <v>2165641</v>
      </c>
      <c r="D474" s="61">
        <f t="shared" si="35"/>
        <v>1</v>
      </c>
      <c r="E474" s="64">
        <f t="shared" si="37"/>
        <v>216.56407827707716</v>
      </c>
      <c r="F474" s="62" t="str">
        <f t="shared" si="38"/>
        <v/>
      </c>
    </row>
    <row r="475" spans="1:6">
      <c r="A475" s="60">
        <v>47000</v>
      </c>
      <c r="B475" s="60">
        <f t="shared" si="36"/>
        <v>2167948</v>
      </c>
      <c r="C475" s="60">
        <f t="shared" si="39"/>
        <v>2167948</v>
      </c>
      <c r="D475" s="61">
        <f t="shared" si="35"/>
        <v>1</v>
      </c>
      <c r="E475" s="64">
        <f t="shared" si="37"/>
        <v>216.79483388678798</v>
      </c>
      <c r="F475" s="62" t="str">
        <f t="shared" si="38"/>
        <v/>
      </c>
    </row>
    <row r="476" spans="1:6">
      <c r="A476" s="60">
        <v>47100</v>
      </c>
      <c r="B476" s="60">
        <f t="shared" si="36"/>
        <v>2170253</v>
      </c>
      <c r="C476" s="60">
        <f t="shared" si="39"/>
        <v>2170253</v>
      </c>
      <c r="D476" s="61">
        <f t="shared" si="35"/>
        <v>1</v>
      </c>
      <c r="E476" s="64">
        <f t="shared" si="37"/>
        <v>217.02534414210706</v>
      </c>
      <c r="F476" s="62" t="str">
        <f t="shared" si="38"/>
        <v/>
      </c>
    </row>
    <row r="477" spans="1:6">
      <c r="A477" s="60">
        <v>47200</v>
      </c>
      <c r="B477" s="60">
        <f t="shared" si="36"/>
        <v>2172556</v>
      </c>
      <c r="C477" s="60">
        <f t="shared" si="39"/>
        <v>2172556</v>
      </c>
      <c r="D477" s="61">
        <f t="shared" si="35"/>
        <v>1</v>
      </c>
      <c r="E477" s="64">
        <f t="shared" si="37"/>
        <v>217.25560982400432</v>
      </c>
      <c r="F477" s="62" t="str">
        <f t="shared" si="38"/>
        <v/>
      </c>
    </row>
    <row r="478" spans="1:6">
      <c r="A478" s="60">
        <v>47300</v>
      </c>
      <c r="B478" s="60">
        <f t="shared" si="36"/>
        <v>2174856</v>
      </c>
      <c r="C478" s="60">
        <f t="shared" si="39"/>
        <v>2174856</v>
      </c>
      <c r="D478" s="61">
        <f t="shared" si="35"/>
        <v>1</v>
      </c>
      <c r="E478" s="64">
        <f t="shared" si="37"/>
        <v>217.48563170931544</v>
      </c>
      <c r="F478" s="62" t="str">
        <f t="shared" si="38"/>
        <v/>
      </c>
    </row>
    <row r="479" spans="1:6">
      <c r="A479" s="60">
        <v>47400</v>
      </c>
      <c r="B479" s="60">
        <f t="shared" si="36"/>
        <v>2177154</v>
      </c>
      <c r="C479" s="60">
        <f t="shared" si="39"/>
        <v>2177154</v>
      </c>
      <c r="D479" s="61">
        <f t="shared" si="35"/>
        <v>1</v>
      </c>
      <c r="E479" s="64">
        <f t="shared" si="37"/>
        <v>217.71541057077241</v>
      </c>
      <c r="F479" s="62" t="str">
        <f t="shared" si="38"/>
        <v/>
      </c>
    </row>
    <row r="480" spans="1:6">
      <c r="A480" s="60">
        <v>47500</v>
      </c>
      <c r="B480" s="60">
        <f t="shared" si="36"/>
        <v>2179449</v>
      </c>
      <c r="C480" s="60">
        <f t="shared" si="39"/>
        <v>2179449</v>
      </c>
      <c r="D480" s="61">
        <f t="shared" si="35"/>
        <v>1</v>
      </c>
      <c r="E480" s="64">
        <f t="shared" si="37"/>
        <v>217.94494717703367</v>
      </c>
      <c r="F480" s="62" t="str">
        <f t="shared" si="38"/>
        <v/>
      </c>
    </row>
    <row r="481" spans="1:6">
      <c r="A481" s="60">
        <v>47600</v>
      </c>
      <c r="B481" s="60">
        <f t="shared" si="36"/>
        <v>2181742</v>
      </c>
      <c r="C481" s="60">
        <f t="shared" si="39"/>
        <v>2181742</v>
      </c>
      <c r="D481" s="61">
        <f t="shared" si="35"/>
        <v>1</v>
      </c>
      <c r="E481" s="64">
        <f t="shared" si="37"/>
        <v>218.1742422927143</v>
      </c>
      <c r="F481" s="62" t="str">
        <f t="shared" si="38"/>
        <v/>
      </c>
    </row>
    <row r="482" spans="1:6">
      <c r="A482" s="60">
        <v>47700</v>
      </c>
      <c r="B482" s="60">
        <f t="shared" si="36"/>
        <v>2184033</v>
      </c>
      <c r="C482" s="60">
        <f t="shared" si="39"/>
        <v>2184033</v>
      </c>
      <c r="D482" s="61">
        <f t="shared" si="35"/>
        <v>1</v>
      </c>
      <c r="E482" s="64">
        <f t="shared" si="37"/>
        <v>218.40329667841556</v>
      </c>
      <c r="F482" s="62" t="str">
        <f t="shared" si="38"/>
        <v/>
      </c>
    </row>
    <row r="483" spans="1:6">
      <c r="A483" s="60">
        <v>47800</v>
      </c>
      <c r="B483" s="60">
        <f t="shared" si="36"/>
        <v>2186321</v>
      </c>
      <c r="C483" s="60">
        <f t="shared" si="39"/>
        <v>2186321</v>
      </c>
      <c r="D483" s="61">
        <f t="shared" si="35"/>
        <v>1</v>
      </c>
      <c r="E483" s="64">
        <f t="shared" si="37"/>
        <v>218.63211109075445</v>
      </c>
      <c r="F483" s="62" t="str">
        <f t="shared" si="38"/>
        <v/>
      </c>
    </row>
    <row r="484" spans="1:6">
      <c r="A484" s="60">
        <v>47900</v>
      </c>
      <c r="B484" s="60">
        <f t="shared" si="36"/>
        <v>2188607</v>
      </c>
      <c r="C484" s="60">
        <f t="shared" si="39"/>
        <v>2188607</v>
      </c>
      <c r="D484" s="61">
        <f t="shared" si="35"/>
        <v>1</v>
      </c>
      <c r="E484" s="64">
        <f t="shared" si="37"/>
        <v>218.86068628239289</v>
      </c>
      <c r="F484" s="62" t="str">
        <f t="shared" si="38"/>
        <v/>
      </c>
    </row>
    <row r="485" spans="1:6">
      <c r="A485" s="60">
        <v>48000</v>
      </c>
      <c r="B485" s="60">
        <f t="shared" si="36"/>
        <v>2190890</v>
      </c>
      <c r="C485" s="60">
        <f t="shared" si="39"/>
        <v>2190890</v>
      </c>
      <c r="D485" s="61">
        <f t="shared" si="35"/>
        <v>1</v>
      </c>
      <c r="E485" s="64">
        <f t="shared" si="37"/>
        <v>219.08902300206645</v>
      </c>
      <c r="F485" s="62" t="str">
        <f t="shared" si="38"/>
        <v/>
      </c>
    </row>
    <row r="486" spans="1:6">
      <c r="A486" s="60">
        <v>48100</v>
      </c>
      <c r="B486" s="60">
        <f t="shared" si="36"/>
        <v>2193171</v>
      </c>
      <c r="C486" s="60">
        <f t="shared" si="39"/>
        <v>2193171</v>
      </c>
      <c r="D486" s="61">
        <f t="shared" si="35"/>
        <v>1</v>
      </c>
      <c r="E486" s="64">
        <f t="shared" si="37"/>
        <v>219.31712199461307</v>
      </c>
      <c r="F486" s="62" t="str">
        <f t="shared" si="38"/>
        <v/>
      </c>
    </row>
    <row r="487" spans="1:6">
      <c r="A487" s="60">
        <v>48200</v>
      </c>
      <c r="B487" s="60">
        <f t="shared" si="36"/>
        <v>2195450</v>
      </c>
      <c r="C487" s="60">
        <f t="shared" si="39"/>
        <v>2195450</v>
      </c>
      <c r="D487" s="61">
        <f t="shared" si="35"/>
        <v>1</v>
      </c>
      <c r="E487" s="64">
        <f t="shared" si="37"/>
        <v>219.5449840010015</v>
      </c>
      <c r="F487" s="62" t="str">
        <f t="shared" si="38"/>
        <v/>
      </c>
    </row>
    <row r="488" spans="1:6">
      <c r="A488" s="60">
        <v>48300</v>
      </c>
      <c r="B488" s="60">
        <f t="shared" si="36"/>
        <v>2197726</v>
      </c>
      <c r="C488" s="60">
        <f t="shared" si="39"/>
        <v>2197726</v>
      </c>
      <c r="D488" s="61">
        <f t="shared" si="35"/>
        <v>1</v>
      </c>
      <c r="E488" s="64">
        <f t="shared" si="37"/>
        <v>219.7726097583591</v>
      </c>
      <c r="F488" s="62" t="str">
        <f t="shared" si="38"/>
        <v/>
      </c>
    </row>
    <row r="489" spans="1:6">
      <c r="A489" s="60">
        <v>48400</v>
      </c>
      <c r="B489" s="60">
        <f t="shared" si="36"/>
        <v>2200000</v>
      </c>
      <c r="C489" s="60">
        <f t="shared" si="39"/>
        <v>2200000</v>
      </c>
      <c r="D489" s="61">
        <f t="shared" si="35"/>
        <v>1</v>
      </c>
      <c r="E489" s="64">
        <f t="shared" si="37"/>
        <v>220</v>
      </c>
      <c r="F489" s="62" t="str">
        <f t="shared" si="38"/>
        <v/>
      </c>
    </row>
    <row r="490" spans="1:6">
      <c r="A490" s="60">
        <v>48500</v>
      </c>
      <c r="B490" s="60">
        <f t="shared" si="36"/>
        <v>2202272</v>
      </c>
      <c r="C490" s="60">
        <f t="shared" si="39"/>
        <v>2202272</v>
      </c>
      <c r="D490" s="61">
        <f t="shared" si="35"/>
        <v>1</v>
      </c>
      <c r="E490" s="64">
        <f t="shared" si="37"/>
        <v>220.22715545545242</v>
      </c>
      <c r="F490" s="62" t="str">
        <f t="shared" si="38"/>
        <v/>
      </c>
    </row>
    <row r="491" spans="1:6">
      <c r="A491" s="60">
        <v>48600</v>
      </c>
      <c r="B491" s="60">
        <f t="shared" si="36"/>
        <v>2204541</v>
      </c>
      <c r="C491" s="60">
        <f t="shared" si="39"/>
        <v>2204541</v>
      </c>
      <c r="D491" s="61">
        <f t="shared" si="35"/>
        <v>1</v>
      </c>
      <c r="E491" s="64">
        <f t="shared" si="37"/>
        <v>220.45407685048602</v>
      </c>
      <c r="F491" s="62" t="str">
        <f t="shared" si="38"/>
        <v/>
      </c>
    </row>
    <row r="492" spans="1:6">
      <c r="A492" s="60">
        <v>48700</v>
      </c>
      <c r="B492" s="60">
        <f t="shared" si="36"/>
        <v>2206808</v>
      </c>
      <c r="C492" s="60">
        <f t="shared" si="39"/>
        <v>2206808</v>
      </c>
      <c r="D492" s="61">
        <f t="shared" si="35"/>
        <v>1</v>
      </c>
      <c r="E492" s="64">
        <f t="shared" si="37"/>
        <v>220.68076490713912</v>
      </c>
      <c r="F492" s="62" t="str">
        <f t="shared" si="38"/>
        <v/>
      </c>
    </row>
    <row r="493" spans="1:6">
      <c r="A493" s="60">
        <v>48800</v>
      </c>
      <c r="B493" s="60">
        <f t="shared" si="36"/>
        <v>2209072</v>
      </c>
      <c r="C493" s="60">
        <f t="shared" si="39"/>
        <v>2209072</v>
      </c>
      <c r="D493" s="61">
        <f t="shared" si="35"/>
        <v>1</v>
      </c>
      <c r="E493" s="64">
        <f t="shared" si="37"/>
        <v>220.90722034374522</v>
      </c>
      <c r="F493" s="62" t="str">
        <f t="shared" si="38"/>
        <v/>
      </c>
    </row>
    <row r="494" spans="1:6">
      <c r="A494" s="60">
        <v>48900</v>
      </c>
      <c r="B494" s="60">
        <f t="shared" si="36"/>
        <v>2211334</v>
      </c>
      <c r="C494" s="60">
        <f t="shared" si="39"/>
        <v>2211334</v>
      </c>
      <c r="D494" s="61">
        <f t="shared" si="35"/>
        <v>1</v>
      </c>
      <c r="E494" s="64">
        <f t="shared" si="37"/>
        <v>221.13344387495982</v>
      </c>
      <c r="F494" s="62" t="str">
        <f t="shared" si="38"/>
        <v/>
      </c>
    </row>
    <row r="495" spans="1:6">
      <c r="A495" s="60">
        <v>49000</v>
      </c>
      <c r="B495" s="60">
        <f t="shared" si="36"/>
        <v>2213594</v>
      </c>
      <c r="C495" s="60">
        <f t="shared" si="39"/>
        <v>2213594</v>
      </c>
      <c r="D495" s="61">
        <f t="shared" si="35"/>
        <v>1</v>
      </c>
      <c r="E495" s="64">
        <f t="shared" si="37"/>
        <v>221.35943621178654</v>
      </c>
      <c r="F495" s="62" t="str">
        <f t="shared" si="38"/>
        <v/>
      </c>
    </row>
    <row r="496" spans="1:6">
      <c r="A496" s="60">
        <v>49100</v>
      </c>
      <c r="B496" s="60">
        <f t="shared" si="36"/>
        <v>2215852</v>
      </c>
      <c r="C496" s="60">
        <f t="shared" si="39"/>
        <v>2215852</v>
      </c>
      <c r="D496" s="61">
        <f t="shared" si="35"/>
        <v>1</v>
      </c>
      <c r="E496" s="64">
        <f t="shared" si="37"/>
        <v>221.58519806160339</v>
      </c>
      <c r="F496" s="62" t="str">
        <f t="shared" si="38"/>
        <v/>
      </c>
    </row>
    <row r="497" spans="1:6">
      <c r="A497" s="60">
        <v>49200</v>
      </c>
      <c r="B497" s="60">
        <f t="shared" si="36"/>
        <v>2218107</v>
      </c>
      <c r="C497" s="60">
        <f t="shared" si="39"/>
        <v>2218107</v>
      </c>
      <c r="D497" s="61">
        <f t="shared" si="35"/>
        <v>1</v>
      </c>
      <c r="E497" s="64">
        <f t="shared" si="37"/>
        <v>221.81073012818834</v>
      </c>
      <c r="F497" s="62" t="str">
        <f t="shared" si="38"/>
        <v/>
      </c>
    </row>
    <row r="498" spans="1:6">
      <c r="A498" s="60">
        <v>49300</v>
      </c>
      <c r="B498" s="60">
        <f t="shared" si="36"/>
        <v>2220360</v>
      </c>
      <c r="C498" s="60">
        <f t="shared" si="39"/>
        <v>2220360</v>
      </c>
      <c r="D498" s="61">
        <f t="shared" si="35"/>
        <v>1</v>
      </c>
      <c r="E498" s="64">
        <f t="shared" si="37"/>
        <v>222.03603311174518</v>
      </c>
      <c r="F498" s="62" t="str">
        <f t="shared" si="38"/>
        <v/>
      </c>
    </row>
    <row r="499" spans="1:6">
      <c r="A499" s="60">
        <v>49400</v>
      </c>
      <c r="B499" s="60">
        <f t="shared" si="36"/>
        <v>2222611</v>
      </c>
      <c r="C499" s="60">
        <f t="shared" si="39"/>
        <v>2222611</v>
      </c>
      <c r="D499" s="61">
        <f t="shared" si="35"/>
        <v>1</v>
      </c>
      <c r="E499" s="64">
        <f t="shared" si="37"/>
        <v>222.26110770892868</v>
      </c>
      <c r="F499" s="62" t="str">
        <f t="shared" si="38"/>
        <v/>
      </c>
    </row>
    <row r="500" spans="1:6">
      <c r="A500" s="60">
        <v>49500</v>
      </c>
      <c r="B500" s="60">
        <f t="shared" si="36"/>
        <v>2224860</v>
      </c>
      <c r="C500" s="60">
        <f t="shared" si="39"/>
        <v>2224860</v>
      </c>
      <c r="D500" s="61">
        <f t="shared" si="35"/>
        <v>1</v>
      </c>
      <c r="E500" s="64">
        <f t="shared" si="37"/>
        <v>222.48595461286988</v>
      </c>
      <c r="F500" s="62" t="str">
        <f t="shared" si="38"/>
        <v/>
      </c>
    </row>
    <row r="501" spans="1:6">
      <c r="A501" s="60">
        <v>49600</v>
      </c>
      <c r="B501" s="60">
        <f t="shared" si="36"/>
        <v>2227106</v>
      </c>
      <c r="C501" s="60">
        <f t="shared" si="39"/>
        <v>2227106</v>
      </c>
      <c r="D501" s="61">
        <f t="shared" si="35"/>
        <v>1</v>
      </c>
      <c r="E501" s="64">
        <f t="shared" si="37"/>
        <v>222.71057451320087</v>
      </c>
      <c r="F501" s="62" t="str">
        <f t="shared" si="38"/>
        <v/>
      </c>
    </row>
    <row r="502" spans="1:6">
      <c r="A502" s="60">
        <v>49700</v>
      </c>
      <c r="B502" s="60">
        <f t="shared" si="36"/>
        <v>2229350</v>
      </c>
      <c r="C502" s="60">
        <f t="shared" si="39"/>
        <v>2229350</v>
      </c>
      <c r="D502" s="61">
        <f t="shared" si="35"/>
        <v>1</v>
      </c>
      <c r="E502" s="64">
        <f t="shared" si="37"/>
        <v>222.93496809607953</v>
      </c>
      <c r="F502" s="62" t="str">
        <f t="shared" si="38"/>
        <v/>
      </c>
    </row>
    <row r="503" spans="1:6">
      <c r="A503" s="60">
        <v>49800</v>
      </c>
      <c r="B503" s="60">
        <f t="shared" si="36"/>
        <v>2231591</v>
      </c>
      <c r="C503" s="60">
        <f t="shared" si="39"/>
        <v>2231591</v>
      </c>
      <c r="D503" s="61">
        <f t="shared" si="35"/>
        <v>1</v>
      </c>
      <c r="E503" s="64">
        <f t="shared" si="37"/>
        <v>223.15913604421397</v>
      </c>
      <c r="F503" s="62" t="str">
        <f t="shared" si="38"/>
        <v/>
      </c>
    </row>
    <row r="504" spans="1:6">
      <c r="A504" s="60">
        <v>49900</v>
      </c>
      <c r="B504" s="60">
        <f t="shared" si="36"/>
        <v>2233831</v>
      </c>
      <c r="C504" s="60">
        <f t="shared" si="39"/>
        <v>2233831</v>
      </c>
      <c r="D504" s="61">
        <f t="shared" si="35"/>
        <v>1</v>
      </c>
      <c r="E504" s="64">
        <f t="shared" si="37"/>
        <v>223.38307903688676</v>
      </c>
      <c r="F504" s="62" t="str">
        <f t="shared" si="38"/>
        <v/>
      </c>
    </row>
    <row r="505" spans="1:6">
      <c r="A505" s="60">
        <v>50000</v>
      </c>
      <c r="B505" s="60">
        <f t="shared" si="36"/>
        <v>2236068</v>
      </c>
      <c r="C505" s="60">
        <f t="shared" si="39"/>
        <v>2236068</v>
      </c>
      <c r="D505" s="61">
        <f t="shared" si="35"/>
        <v>1</v>
      </c>
      <c r="E505" s="64">
        <f t="shared" si="37"/>
        <v>223.60679774997897</v>
      </c>
      <c r="F505" s="62" t="str">
        <f t="shared" si="38"/>
        <v/>
      </c>
    </row>
    <row r="506" spans="1:6">
      <c r="A506" s="60">
        <v>50100</v>
      </c>
      <c r="B506" s="60">
        <f t="shared" si="36"/>
        <v>2238303</v>
      </c>
      <c r="C506" s="60">
        <f t="shared" si="39"/>
        <v>2238303</v>
      </c>
      <c r="D506" s="61">
        <f t="shared" si="35"/>
        <v>1</v>
      </c>
      <c r="E506" s="64">
        <f t="shared" si="37"/>
        <v>223.83029285599392</v>
      </c>
      <c r="F506" s="62" t="str">
        <f t="shared" si="38"/>
        <v/>
      </c>
    </row>
    <row r="507" spans="1:6">
      <c r="A507" s="60">
        <v>50200</v>
      </c>
      <c r="B507" s="60">
        <f t="shared" si="36"/>
        <v>2240536</v>
      </c>
      <c r="C507" s="60">
        <f t="shared" si="39"/>
        <v>2240536</v>
      </c>
      <c r="D507" s="61">
        <f t="shared" si="35"/>
        <v>1</v>
      </c>
      <c r="E507" s="64">
        <f t="shared" si="37"/>
        <v>224.0535650240808</v>
      </c>
      <c r="F507" s="62" t="str">
        <f t="shared" si="38"/>
        <v/>
      </c>
    </row>
    <row r="508" spans="1:6">
      <c r="A508" s="60">
        <v>50300</v>
      </c>
      <c r="B508" s="60">
        <f t="shared" si="36"/>
        <v>2242766</v>
      </c>
      <c r="C508" s="60">
        <f t="shared" si="39"/>
        <v>2242766</v>
      </c>
      <c r="D508" s="61">
        <f t="shared" si="35"/>
        <v>1</v>
      </c>
      <c r="E508" s="64">
        <f t="shared" si="37"/>
        <v>224.27661492005805</v>
      </c>
      <c r="F508" s="62" t="str">
        <f t="shared" si="38"/>
        <v/>
      </c>
    </row>
    <row r="509" spans="1:6">
      <c r="A509" s="60">
        <v>50400</v>
      </c>
      <c r="B509" s="60">
        <f t="shared" si="36"/>
        <v>2244994</v>
      </c>
      <c r="C509" s="60">
        <f t="shared" si="39"/>
        <v>2244994</v>
      </c>
      <c r="D509" s="61">
        <f t="shared" si="35"/>
        <v>1</v>
      </c>
      <c r="E509" s="64">
        <f t="shared" si="37"/>
        <v>224.4994432064365</v>
      </c>
      <c r="F509" s="62" t="str">
        <f t="shared" si="38"/>
        <v/>
      </c>
    </row>
    <row r="510" spans="1:6">
      <c r="A510" s="60">
        <v>50500</v>
      </c>
      <c r="B510" s="60">
        <f t="shared" si="36"/>
        <v>2247221</v>
      </c>
      <c r="C510" s="60">
        <f t="shared" si="39"/>
        <v>2247221</v>
      </c>
      <c r="D510" s="61">
        <f t="shared" si="35"/>
        <v>1</v>
      </c>
      <c r="E510" s="64">
        <f t="shared" si="37"/>
        <v>224.72205054244233</v>
      </c>
      <c r="F510" s="62" t="str">
        <f t="shared" si="38"/>
        <v/>
      </c>
    </row>
    <row r="511" spans="1:6">
      <c r="A511" s="60">
        <v>50600</v>
      </c>
      <c r="B511" s="60">
        <f t="shared" si="36"/>
        <v>2249444</v>
      </c>
      <c r="C511" s="60">
        <f t="shared" si="39"/>
        <v>2249444</v>
      </c>
      <c r="D511" s="61">
        <f t="shared" si="35"/>
        <v>1</v>
      </c>
      <c r="E511" s="64">
        <f t="shared" si="37"/>
        <v>224.94443758403986</v>
      </c>
      <c r="F511" s="62" t="str">
        <f t="shared" si="38"/>
        <v/>
      </c>
    </row>
    <row r="512" spans="1:6">
      <c r="A512" s="60">
        <v>50700</v>
      </c>
      <c r="B512" s="60">
        <f t="shared" si="36"/>
        <v>2251666</v>
      </c>
      <c r="C512" s="60">
        <f t="shared" si="39"/>
        <v>2251666</v>
      </c>
      <c r="D512" s="61">
        <f t="shared" si="35"/>
        <v>1</v>
      </c>
      <c r="E512" s="64">
        <f t="shared" si="37"/>
        <v>225.16660498395404</v>
      </c>
      <c r="F512" s="62" t="str">
        <f t="shared" si="38"/>
        <v/>
      </c>
    </row>
    <row r="513" spans="1:6">
      <c r="A513" s="60">
        <v>50800</v>
      </c>
      <c r="B513" s="60">
        <f t="shared" si="36"/>
        <v>2253886</v>
      </c>
      <c r="C513" s="60">
        <f t="shared" si="39"/>
        <v>2253886</v>
      </c>
      <c r="D513" s="61">
        <f t="shared" si="35"/>
        <v>1</v>
      </c>
      <c r="E513" s="64">
        <f t="shared" si="37"/>
        <v>225.38855339169291</v>
      </c>
      <c r="F513" s="62" t="str">
        <f t="shared" si="38"/>
        <v/>
      </c>
    </row>
    <row r="514" spans="1:6">
      <c r="A514" s="60">
        <v>50900</v>
      </c>
      <c r="B514" s="60">
        <f t="shared" si="36"/>
        <v>2256103</v>
      </c>
      <c r="C514" s="60">
        <f t="shared" si="39"/>
        <v>2256103</v>
      </c>
      <c r="D514" s="61">
        <f t="shared" si="35"/>
        <v>1</v>
      </c>
      <c r="E514" s="64">
        <f t="shared" si="37"/>
        <v>225.61028345356956</v>
      </c>
      <c r="F514" s="62" t="str">
        <f t="shared" si="38"/>
        <v/>
      </c>
    </row>
    <row r="515" spans="1:6">
      <c r="A515" s="60">
        <v>51000</v>
      </c>
      <c r="B515" s="60">
        <f t="shared" si="36"/>
        <v>2258318</v>
      </c>
      <c r="C515" s="60">
        <f t="shared" si="39"/>
        <v>2258318</v>
      </c>
      <c r="D515" s="61">
        <f t="shared" si="35"/>
        <v>1</v>
      </c>
      <c r="E515" s="64">
        <f t="shared" si="37"/>
        <v>225.83179581272429</v>
      </c>
      <c r="F515" s="62" t="str">
        <f t="shared" si="38"/>
        <v/>
      </c>
    </row>
    <row r="516" spans="1:6">
      <c r="A516" s="60">
        <v>51100</v>
      </c>
      <c r="B516" s="60">
        <f t="shared" si="36"/>
        <v>2260531</v>
      </c>
      <c r="C516" s="60">
        <f t="shared" si="39"/>
        <v>2260531</v>
      </c>
      <c r="D516" s="61">
        <f t="shared" si="35"/>
        <v>1</v>
      </c>
      <c r="E516" s="64">
        <f t="shared" si="37"/>
        <v>226.05309110914629</v>
      </c>
      <c r="F516" s="62" t="str">
        <f t="shared" si="38"/>
        <v/>
      </c>
    </row>
    <row r="517" spans="1:6">
      <c r="A517" s="60">
        <v>51200</v>
      </c>
      <c r="B517" s="60">
        <f t="shared" si="36"/>
        <v>2262742</v>
      </c>
      <c r="C517" s="60">
        <f t="shared" si="39"/>
        <v>2262742</v>
      </c>
      <c r="D517" s="61">
        <f t="shared" ref="D517:D580" si="40">(A517-INDEX(兵力区间,MATCH(A517,兵力区间,1)))/(INDEX(兵力区间,MATCH(A517,兵力区间,1)+1)-INDEX(兵力区间,MATCH(A517,兵力区间,1)))*((INDEX(兵力调节,MATCH(A517,兵力区间,1)+1,2)-INDEX(兵力调节,MATCH(A517,兵力区间,1),2)))+INDEX(兵力调节,MATCH(A517,兵力区间,1),2)</f>
        <v>1</v>
      </c>
      <c r="E517" s="64">
        <f t="shared" si="37"/>
        <v>226.27416997969522</v>
      </c>
      <c r="F517" s="62" t="str">
        <f t="shared" si="38"/>
        <v/>
      </c>
    </row>
    <row r="518" spans="1:6">
      <c r="A518" s="60">
        <v>51300</v>
      </c>
      <c r="B518" s="60">
        <f t="shared" si="36"/>
        <v>2264950</v>
      </c>
      <c r="C518" s="60">
        <f t="shared" si="39"/>
        <v>2264950</v>
      </c>
      <c r="D518" s="61">
        <f t="shared" si="40"/>
        <v>1</v>
      </c>
      <c r="E518" s="64">
        <f t="shared" si="37"/>
        <v>226.49503305812249</v>
      </c>
      <c r="F518" s="62" t="str">
        <f t="shared" si="38"/>
        <v/>
      </c>
    </row>
    <row r="519" spans="1:6">
      <c r="A519" s="60">
        <v>51400</v>
      </c>
      <c r="B519" s="60">
        <f t="shared" ref="B519:B582" si="41">ROUND(D519*E519*10000,0)</f>
        <v>2267157</v>
      </c>
      <c r="C519" s="60">
        <f t="shared" si="39"/>
        <v>2267157</v>
      </c>
      <c r="D519" s="61">
        <f t="shared" si="40"/>
        <v>1</v>
      </c>
      <c r="E519" s="64">
        <f t="shared" ref="E519:E582" si="42">A519^0.5</f>
        <v>226.71568097509268</v>
      </c>
      <c r="F519" s="62" t="str">
        <f t="shared" si="38"/>
        <v/>
      </c>
    </row>
    <row r="520" spans="1:6">
      <c r="A520" s="60">
        <v>51500</v>
      </c>
      <c r="B520" s="60">
        <f t="shared" si="41"/>
        <v>2269361</v>
      </c>
      <c r="C520" s="60">
        <f t="shared" si="39"/>
        <v>2269361</v>
      </c>
      <c r="D520" s="61">
        <f t="shared" si="40"/>
        <v>1</v>
      </c>
      <c r="E520" s="64">
        <f t="shared" si="42"/>
        <v>226.93611435820435</v>
      </c>
      <c r="F520" s="62" t="str">
        <f t="shared" ref="F520:F583" si="43">IF(B520&lt;B519,1,"")</f>
        <v/>
      </c>
    </row>
    <row r="521" spans="1:6">
      <c r="A521" s="60">
        <v>51600</v>
      </c>
      <c r="B521" s="60">
        <f t="shared" si="41"/>
        <v>2271563</v>
      </c>
      <c r="C521" s="60">
        <f t="shared" si="39"/>
        <v>2271563</v>
      </c>
      <c r="D521" s="61">
        <f t="shared" si="40"/>
        <v>1</v>
      </c>
      <c r="E521" s="64">
        <f t="shared" si="42"/>
        <v>227.15633383201094</v>
      </c>
      <c r="F521" s="62" t="str">
        <f t="shared" si="43"/>
        <v/>
      </c>
    </row>
    <row r="522" spans="1:6">
      <c r="A522" s="60">
        <v>51700</v>
      </c>
      <c r="B522" s="60">
        <f t="shared" si="41"/>
        <v>2273763</v>
      </c>
      <c r="C522" s="60">
        <f t="shared" si="39"/>
        <v>2273763</v>
      </c>
      <c r="D522" s="61">
        <f t="shared" si="40"/>
        <v>1</v>
      </c>
      <c r="E522" s="64">
        <f t="shared" si="42"/>
        <v>227.37634001804145</v>
      </c>
      <c r="F522" s="62" t="str">
        <f t="shared" si="43"/>
        <v/>
      </c>
    </row>
    <row r="523" spans="1:6">
      <c r="A523" s="60">
        <v>51800</v>
      </c>
      <c r="B523" s="60">
        <f t="shared" si="41"/>
        <v>2275961</v>
      </c>
      <c r="C523" s="60">
        <f t="shared" ref="C523:C586" si="44">ROUND(D523*E523*10000,0)</f>
        <v>2275961</v>
      </c>
      <c r="D523" s="61">
        <f t="shared" si="40"/>
        <v>1</v>
      </c>
      <c r="E523" s="64">
        <f t="shared" si="42"/>
        <v>227.59613353482084</v>
      </c>
      <c r="F523" s="62" t="str">
        <f t="shared" si="43"/>
        <v/>
      </c>
    </row>
    <row r="524" spans="1:6">
      <c r="A524" s="60">
        <v>51900</v>
      </c>
      <c r="B524" s="60">
        <f t="shared" si="41"/>
        <v>2278157</v>
      </c>
      <c r="C524" s="60">
        <f t="shared" si="44"/>
        <v>2278157</v>
      </c>
      <c r="D524" s="61">
        <f t="shared" si="40"/>
        <v>1</v>
      </c>
      <c r="E524" s="64">
        <f t="shared" si="42"/>
        <v>227.81571499789035</v>
      </c>
      <c r="F524" s="62" t="str">
        <f t="shared" si="43"/>
        <v/>
      </c>
    </row>
    <row r="525" spans="1:6">
      <c r="A525" s="60">
        <v>52000</v>
      </c>
      <c r="B525" s="60">
        <f t="shared" si="41"/>
        <v>2280351</v>
      </c>
      <c r="C525" s="60">
        <f t="shared" si="44"/>
        <v>2280351</v>
      </c>
      <c r="D525" s="61">
        <f t="shared" si="40"/>
        <v>1</v>
      </c>
      <c r="E525" s="64">
        <f t="shared" si="42"/>
        <v>228.03508501982759</v>
      </c>
      <c r="F525" s="62" t="str">
        <f t="shared" si="43"/>
        <v/>
      </c>
    </row>
    <row r="526" spans="1:6">
      <c r="A526" s="60">
        <v>52100</v>
      </c>
      <c r="B526" s="60">
        <f t="shared" si="41"/>
        <v>2282542</v>
      </c>
      <c r="C526" s="60">
        <f t="shared" si="44"/>
        <v>2282542</v>
      </c>
      <c r="D526" s="61">
        <f t="shared" si="40"/>
        <v>1</v>
      </c>
      <c r="E526" s="64">
        <f t="shared" si="42"/>
        <v>228.25424421026653</v>
      </c>
      <c r="F526" s="62" t="str">
        <f t="shared" si="43"/>
        <v/>
      </c>
    </row>
    <row r="527" spans="1:6">
      <c r="A527" s="60">
        <v>52200</v>
      </c>
      <c r="B527" s="60">
        <f t="shared" si="41"/>
        <v>2284732</v>
      </c>
      <c r="C527" s="60">
        <f t="shared" si="44"/>
        <v>2284732</v>
      </c>
      <c r="D527" s="61">
        <f t="shared" si="40"/>
        <v>1</v>
      </c>
      <c r="E527" s="64">
        <f t="shared" si="42"/>
        <v>228.47319317591726</v>
      </c>
      <c r="F527" s="62" t="str">
        <f t="shared" si="43"/>
        <v/>
      </c>
    </row>
    <row r="528" spans="1:6">
      <c r="A528" s="60">
        <v>52300</v>
      </c>
      <c r="B528" s="60">
        <f t="shared" si="41"/>
        <v>2286919</v>
      </c>
      <c r="C528" s="60">
        <f t="shared" si="44"/>
        <v>2286919</v>
      </c>
      <c r="D528" s="61">
        <f t="shared" si="40"/>
        <v>1</v>
      </c>
      <c r="E528" s="64">
        <f t="shared" si="42"/>
        <v>228.69193252058542</v>
      </c>
      <c r="F528" s="62" t="str">
        <f t="shared" si="43"/>
        <v/>
      </c>
    </row>
    <row r="529" spans="1:6">
      <c r="A529" s="60">
        <v>52400</v>
      </c>
      <c r="B529" s="60">
        <f t="shared" si="41"/>
        <v>2289105</v>
      </c>
      <c r="C529" s="60">
        <f t="shared" si="44"/>
        <v>2289105</v>
      </c>
      <c r="D529" s="61">
        <f t="shared" si="40"/>
        <v>1</v>
      </c>
      <c r="E529" s="64">
        <f t="shared" si="42"/>
        <v>228.91046284519194</v>
      </c>
      <c r="F529" s="62" t="str">
        <f t="shared" si="43"/>
        <v/>
      </c>
    </row>
    <row r="530" spans="1:6">
      <c r="A530" s="60">
        <v>52500</v>
      </c>
      <c r="B530" s="60">
        <f t="shared" si="41"/>
        <v>2291288</v>
      </c>
      <c r="C530" s="60">
        <f t="shared" si="44"/>
        <v>2291288</v>
      </c>
      <c r="D530" s="61">
        <f t="shared" si="40"/>
        <v>1</v>
      </c>
      <c r="E530" s="64">
        <f t="shared" si="42"/>
        <v>229.128784747792</v>
      </c>
      <c r="F530" s="62" t="str">
        <f t="shared" si="43"/>
        <v/>
      </c>
    </row>
    <row r="531" spans="1:6">
      <c r="A531" s="60">
        <v>52600</v>
      </c>
      <c r="B531" s="60">
        <f t="shared" si="41"/>
        <v>2293469</v>
      </c>
      <c r="C531" s="60">
        <f t="shared" si="44"/>
        <v>2293469</v>
      </c>
      <c r="D531" s="61">
        <f t="shared" si="40"/>
        <v>1</v>
      </c>
      <c r="E531" s="64">
        <f t="shared" si="42"/>
        <v>229.3468988235943</v>
      </c>
      <c r="F531" s="62" t="str">
        <f t="shared" si="43"/>
        <v/>
      </c>
    </row>
    <row r="532" spans="1:6">
      <c r="A532" s="60">
        <v>52700</v>
      </c>
      <c r="B532" s="60">
        <f t="shared" si="41"/>
        <v>2295648</v>
      </c>
      <c r="C532" s="60">
        <f t="shared" si="44"/>
        <v>2295648</v>
      </c>
      <c r="D532" s="61">
        <f t="shared" si="40"/>
        <v>1</v>
      </c>
      <c r="E532" s="64">
        <f t="shared" si="42"/>
        <v>229.56480566497993</v>
      </c>
      <c r="F532" s="62" t="str">
        <f t="shared" si="43"/>
        <v/>
      </c>
    </row>
    <row r="533" spans="1:6">
      <c r="A533" s="60">
        <v>52800</v>
      </c>
      <c r="B533" s="60">
        <f t="shared" si="41"/>
        <v>2297825</v>
      </c>
      <c r="C533" s="60">
        <f t="shared" si="44"/>
        <v>2297825</v>
      </c>
      <c r="D533" s="61">
        <f t="shared" si="40"/>
        <v>1</v>
      </c>
      <c r="E533" s="64">
        <f t="shared" si="42"/>
        <v>229.78250586152114</v>
      </c>
      <c r="F533" s="62" t="str">
        <f t="shared" si="43"/>
        <v/>
      </c>
    </row>
    <row r="534" spans="1:6">
      <c r="A534" s="60">
        <v>52900</v>
      </c>
      <c r="B534" s="60">
        <f t="shared" si="41"/>
        <v>2300000</v>
      </c>
      <c r="C534" s="60">
        <f t="shared" si="44"/>
        <v>2300000</v>
      </c>
      <c r="D534" s="61">
        <f t="shared" si="40"/>
        <v>1</v>
      </c>
      <c r="E534" s="64">
        <f t="shared" si="42"/>
        <v>230</v>
      </c>
      <c r="F534" s="62" t="str">
        <f t="shared" si="43"/>
        <v/>
      </c>
    </row>
    <row r="535" spans="1:6">
      <c r="A535" s="60">
        <v>53000</v>
      </c>
      <c r="B535" s="60">
        <f t="shared" si="41"/>
        <v>2302173</v>
      </c>
      <c r="C535" s="60">
        <f t="shared" si="44"/>
        <v>2302173</v>
      </c>
      <c r="D535" s="61">
        <f t="shared" si="40"/>
        <v>1</v>
      </c>
      <c r="E535" s="64">
        <f t="shared" si="42"/>
        <v>230.21728866442677</v>
      </c>
      <c r="F535" s="62" t="str">
        <f t="shared" si="43"/>
        <v/>
      </c>
    </row>
    <row r="536" spans="1:6">
      <c r="A536" s="60">
        <v>53100</v>
      </c>
      <c r="B536" s="60">
        <f t="shared" si="41"/>
        <v>2304344</v>
      </c>
      <c r="C536" s="60">
        <f t="shared" si="44"/>
        <v>2304344</v>
      </c>
      <c r="D536" s="61">
        <f t="shared" si="40"/>
        <v>1</v>
      </c>
      <c r="E536" s="64">
        <f t="shared" si="42"/>
        <v>230.43437243605825</v>
      </c>
      <c r="F536" s="62" t="str">
        <f t="shared" si="43"/>
        <v/>
      </c>
    </row>
    <row r="537" spans="1:6">
      <c r="A537" s="60">
        <v>53200</v>
      </c>
      <c r="B537" s="60">
        <f t="shared" si="41"/>
        <v>2306513</v>
      </c>
      <c r="C537" s="60">
        <f t="shared" si="44"/>
        <v>2306513</v>
      </c>
      <c r="D537" s="61">
        <f t="shared" si="40"/>
        <v>1</v>
      </c>
      <c r="E537" s="64">
        <f t="shared" si="42"/>
        <v>230.65125189341592</v>
      </c>
      <c r="F537" s="62" t="str">
        <f t="shared" si="43"/>
        <v/>
      </c>
    </row>
    <row r="538" spans="1:6">
      <c r="A538" s="60">
        <v>53300</v>
      </c>
      <c r="B538" s="60">
        <f t="shared" si="41"/>
        <v>2308679</v>
      </c>
      <c r="C538" s="60">
        <f t="shared" si="44"/>
        <v>2308679</v>
      </c>
      <c r="D538" s="61">
        <f t="shared" si="40"/>
        <v>1</v>
      </c>
      <c r="E538" s="64">
        <f t="shared" si="42"/>
        <v>230.8679276123039</v>
      </c>
      <c r="F538" s="62" t="str">
        <f t="shared" si="43"/>
        <v/>
      </c>
    </row>
    <row r="539" spans="1:6">
      <c r="A539" s="60">
        <v>53400</v>
      </c>
      <c r="B539" s="60">
        <f t="shared" si="41"/>
        <v>2310844</v>
      </c>
      <c r="C539" s="60">
        <f t="shared" si="44"/>
        <v>2310844</v>
      </c>
      <c r="D539" s="61">
        <f t="shared" si="40"/>
        <v>1</v>
      </c>
      <c r="E539" s="64">
        <f t="shared" si="42"/>
        <v>231.08440016582685</v>
      </c>
      <c r="F539" s="62" t="str">
        <f t="shared" si="43"/>
        <v/>
      </c>
    </row>
    <row r="540" spans="1:6">
      <c r="A540" s="60">
        <v>53500</v>
      </c>
      <c r="B540" s="60">
        <f t="shared" si="41"/>
        <v>2313007</v>
      </c>
      <c r="C540" s="60">
        <f t="shared" si="44"/>
        <v>2313007</v>
      </c>
      <c r="D540" s="61">
        <f t="shared" si="40"/>
        <v>1</v>
      </c>
      <c r="E540" s="64">
        <f t="shared" si="42"/>
        <v>231.30067012440756</v>
      </c>
      <c r="F540" s="62" t="str">
        <f t="shared" si="43"/>
        <v/>
      </c>
    </row>
    <row r="541" spans="1:6">
      <c r="A541" s="60">
        <v>53600</v>
      </c>
      <c r="B541" s="60">
        <f t="shared" si="41"/>
        <v>2315167</v>
      </c>
      <c r="C541" s="60">
        <f t="shared" si="44"/>
        <v>2315167</v>
      </c>
      <c r="D541" s="61">
        <f t="shared" si="40"/>
        <v>1</v>
      </c>
      <c r="E541" s="64">
        <f t="shared" si="42"/>
        <v>231.5167380558045</v>
      </c>
      <c r="F541" s="62" t="str">
        <f t="shared" si="43"/>
        <v/>
      </c>
    </row>
    <row r="542" spans="1:6">
      <c r="A542" s="60">
        <v>53700</v>
      </c>
      <c r="B542" s="60">
        <f t="shared" si="41"/>
        <v>2317326</v>
      </c>
      <c r="C542" s="60">
        <f t="shared" si="44"/>
        <v>2317326</v>
      </c>
      <c r="D542" s="61">
        <f t="shared" si="40"/>
        <v>1</v>
      </c>
      <c r="E542" s="64">
        <f t="shared" si="42"/>
        <v>231.73260452512935</v>
      </c>
      <c r="F542" s="62" t="str">
        <f t="shared" si="43"/>
        <v/>
      </c>
    </row>
    <row r="543" spans="1:6">
      <c r="A543" s="60">
        <v>53800</v>
      </c>
      <c r="B543" s="60">
        <f t="shared" si="41"/>
        <v>2319483</v>
      </c>
      <c r="C543" s="60">
        <f t="shared" si="44"/>
        <v>2319483</v>
      </c>
      <c r="D543" s="61">
        <f t="shared" si="40"/>
        <v>1</v>
      </c>
      <c r="E543" s="64">
        <f t="shared" si="42"/>
        <v>231.94827009486403</v>
      </c>
      <c r="F543" s="62" t="str">
        <f t="shared" si="43"/>
        <v/>
      </c>
    </row>
    <row r="544" spans="1:6">
      <c r="A544" s="60">
        <v>53900</v>
      </c>
      <c r="B544" s="60">
        <f t="shared" si="41"/>
        <v>2321637</v>
      </c>
      <c r="C544" s="60">
        <f t="shared" si="44"/>
        <v>2321637</v>
      </c>
      <c r="D544" s="61">
        <f t="shared" si="40"/>
        <v>1</v>
      </c>
      <c r="E544" s="64">
        <f t="shared" si="42"/>
        <v>232.16373532487799</v>
      </c>
      <c r="F544" s="62" t="str">
        <f t="shared" si="43"/>
        <v/>
      </c>
    </row>
    <row r="545" spans="1:6">
      <c r="A545" s="60">
        <v>54000</v>
      </c>
      <c r="B545" s="60">
        <f t="shared" si="41"/>
        <v>2323790</v>
      </c>
      <c r="C545" s="60">
        <f t="shared" si="44"/>
        <v>2323790</v>
      </c>
      <c r="D545" s="61">
        <f t="shared" si="40"/>
        <v>1</v>
      </c>
      <c r="E545" s="64">
        <f t="shared" si="42"/>
        <v>232.37900077244501</v>
      </c>
      <c r="F545" s="62" t="str">
        <f t="shared" si="43"/>
        <v/>
      </c>
    </row>
    <row r="546" spans="1:6">
      <c r="A546" s="60">
        <v>54100</v>
      </c>
      <c r="B546" s="60">
        <f t="shared" si="41"/>
        <v>2325941</v>
      </c>
      <c r="C546" s="60">
        <f t="shared" si="44"/>
        <v>2325941</v>
      </c>
      <c r="D546" s="61">
        <f t="shared" si="40"/>
        <v>1</v>
      </c>
      <c r="E546" s="64">
        <f t="shared" si="42"/>
        <v>232.59406699226014</v>
      </c>
      <c r="F546" s="62" t="str">
        <f t="shared" si="43"/>
        <v/>
      </c>
    </row>
    <row r="547" spans="1:6">
      <c r="A547" s="60">
        <v>54200</v>
      </c>
      <c r="B547" s="60">
        <f t="shared" si="41"/>
        <v>2328089</v>
      </c>
      <c r="C547" s="60">
        <f t="shared" si="44"/>
        <v>2328089</v>
      </c>
      <c r="D547" s="61">
        <f t="shared" si="40"/>
        <v>1</v>
      </c>
      <c r="E547" s="64">
        <f t="shared" si="42"/>
        <v>232.80893453645632</v>
      </c>
      <c r="F547" s="62" t="str">
        <f t="shared" si="43"/>
        <v/>
      </c>
    </row>
    <row r="548" spans="1:6">
      <c r="A548" s="60">
        <v>54300</v>
      </c>
      <c r="B548" s="60">
        <f t="shared" si="41"/>
        <v>2330236</v>
      </c>
      <c r="C548" s="60">
        <f t="shared" si="44"/>
        <v>2330236</v>
      </c>
      <c r="D548" s="61">
        <f t="shared" si="40"/>
        <v>1</v>
      </c>
      <c r="E548" s="64">
        <f t="shared" si="42"/>
        <v>233.02360395462088</v>
      </c>
      <c r="F548" s="62" t="str">
        <f t="shared" si="43"/>
        <v/>
      </c>
    </row>
    <row r="549" spans="1:6">
      <c r="A549" s="60">
        <v>54400</v>
      </c>
      <c r="B549" s="60">
        <f t="shared" si="41"/>
        <v>2332381</v>
      </c>
      <c r="C549" s="60">
        <f t="shared" si="44"/>
        <v>2332381</v>
      </c>
      <c r="D549" s="61">
        <f t="shared" si="40"/>
        <v>1</v>
      </c>
      <c r="E549" s="64">
        <f t="shared" si="42"/>
        <v>233.23807579381202</v>
      </c>
      <c r="F549" s="62" t="str">
        <f t="shared" si="43"/>
        <v/>
      </c>
    </row>
    <row r="550" spans="1:6">
      <c r="A550" s="60">
        <v>54500</v>
      </c>
      <c r="B550" s="60">
        <f t="shared" si="41"/>
        <v>2334524</v>
      </c>
      <c r="C550" s="60">
        <f t="shared" si="44"/>
        <v>2334524</v>
      </c>
      <c r="D550" s="61">
        <f t="shared" si="40"/>
        <v>1</v>
      </c>
      <c r="E550" s="64">
        <f t="shared" si="42"/>
        <v>233.45235059857504</v>
      </c>
      <c r="F550" s="62" t="str">
        <f t="shared" si="43"/>
        <v/>
      </c>
    </row>
    <row r="551" spans="1:6">
      <c r="A551" s="60">
        <v>54600</v>
      </c>
      <c r="B551" s="60">
        <f t="shared" si="41"/>
        <v>2336664</v>
      </c>
      <c r="C551" s="60">
        <f t="shared" si="44"/>
        <v>2336664</v>
      </c>
      <c r="D551" s="61">
        <f t="shared" si="40"/>
        <v>1</v>
      </c>
      <c r="E551" s="64">
        <f t="shared" si="42"/>
        <v>233.66642891095844</v>
      </c>
      <c r="F551" s="62" t="str">
        <f t="shared" si="43"/>
        <v/>
      </c>
    </row>
    <row r="552" spans="1:6">
      <c r="A552" s="60">
        <v>54700</v>
      </c>
      <c r="B552" s="60">
        <f t="shared" si="41"/>
        <v>2338803</v>
      </c>
      <c r="C552" s="60">
        <f t="shared" si="44"/>
        <v>2338803</v>
      </c>
      <c r="D552" s="61">
        <f t="shared" si="40"/>
        <v>1</v>
      </c>
      <c r="E552" s="64">
        <f t="shared" si="42"/>
        <v>233.88031127053</v>
      </c>
      <c r="F552" s="62" t="str">
        <f t="shared" si="43"/>
        <v/>
      </c>
    </row>
    <row r="553" spans="1:6">
      <c r="A553" s="60">
        <v>54800</v>
      </c>
      <c r="B553" s="60">
        <f t="shared" si="41"/>
        <v>2340940</v>
      </c>
      <c r="C553" s="60">
        <f t="shared" si="44"/>
        <v>2340940</v>
      </c>
      <c r="D553" s="61">
        <f t="shared" si="40"/>
        <v>1</v>
      </c>
      <c r="E553" s="64">
        <f t="shared" si="42"/>
        <v>234.09399821439251</v>
      </c>
      <c r="F553" s="62" t="str">
        <f t="shared" si="43"/>
        <v/>
      </c>
    </row>
    <row r="554" spans="1:6">
      <c r="A554" s="60">
        <v>54900</v>
      </c>
      <c r="B554" s="60">
        <f t="shared" si="41"/>
        <v>2343075</v>
      </c>
      <c r="C554" s="60">
        <f t="shared" si="44"/>
        <v>2343075</v>
      </c>
      <c r="D554" s="61">
        <f t="shared" si="40"/>
        <v>1</v>
      </c>
      <c r="E554" s="64">
        <f t="shared" si="42"/>
        <v>234.30749027719963</v>
      </c>
      <c r="F554" s="62" t="str">
        <f t="shared" si="43"/>
        <v/>
      </c>
    </row>
    <row r="555" spans="1:6">
      <c r="A555" s="60">
        <v>55000</v>
      </c>
      <c r="B555" s="60">
        <f t="shared" si="41"/>
        <v>2345208</v>
      </c>
      <c r="C555" s="60">
        <f t="shared" si="44"/>
        <v>2345208</v>
      </c>
      <c r="D555" s="61">
        <f t="shared" si="40"/>
        <v>1</v>
      </c>
      <c r="E555" s="64">
        <f t="shared" si="42"/>
        <v>234.52078799117149</v>
      </c>
      <c r="F555" s="62" t="str">
        <f t="shared" si="43"/>
        <v/>
      </c>
    </row>
    <row r="556" spans="1:6">
      <c r="A556" s="60">
        <v>55100</v>
      </c>
      <c r="B556" s="60">
        <f t="shared" si="41"/>
        <v>2347339</v>
      </c>
      <c r="C556" s="60">
        <f t="shared" si="44"/>
        <v>2347339</v>
      </c>
      <c r="D556" s="61">
        <f t="shared" si="40"/>
        <v>1</v>
      </c>
      <c r="E556" s="64">
        <f t="shared" si="42"/>
        <v>234.73389188611006</v>
      </c>
      <c r="F556" s="62" t="str">
        <f t="shared" si="43"/>
        <v/>
      </c>
    </row>
    <row r="557" spans="1:6">
      <c r="A557" s="60">
        <v>55200</v>
      </c>
      <c r="B557" s="60">
        <f t="shared" si="41"/>
        <v>2349468</v>
      </c>
      <c r="C557" s="60">
        <f t="shared" si="44"/>
        <v>2349468</v>
      </c>
      <c r="D557" s="61">
        <f t="shared" si="40"/>
        <v>1</v>
      </c>
      <c r="E557" s="64">
        <f t="shared" si="42"/>
        <v>234.94680248941461</v>
      </c>
      <c r="F557" s="62" t="str">
        <f t="shared" si="43"/>
        <v/>
      </c>
    </row>
    <row r="558" spans="1:6">
      <c r="A558" s="60">
        <v>55300</v>
      </c>
      <c r="B558" s="60">
        <f t="shared" si="41"/>
        <v>2351595</v>
      </c>
      <c r="C558" s="60">
        <f t="shared" si="44"/>
        <v>2351595</v>
      </c>
      <c r="D558" s="61">
        <f t="shared" si="40"/>
        <v>1</v>
      </c>
      <c r="E558" s="64">
        <f t="shared" si="42"/>
        <v>235.15952032609695</v>
      </c>
      <c r="F558" s="62" t="str">
        <f t="shared" si="43"/>
        <v/>
      </c>
    </row>
    <row r="559" spans="1:6">
      <c r="A559" s="60">
        <v>55400</v>
      </c>
      <c r="B559" s="60">
        <f t="shared" si="41"/>
        <v>2353720</v>
      </c>
      <c r="C559" s="60">
        <f t="shared" si="44"/>
        <v>2353720</v>
      </c>
      <c r="D559" s="61">
        <f t="shared" si="40"/>
        <v>1</v>
      </c>
      <c r="E559" s="64">
        <f t="shared" si="42"/>
        <v>235.3720459187964</v>
      </c>
      <c r="F559" s="62" t="str">
        <f t="shared" si="43"/>
        <v/>
      </c>
    </row>
    <row r="560" spans="1:6">
      <c r="A560" s="60">
        <v>55500</v>
      </c>
      <c r="B560" s="60">
        <f t="shared" si="41"/>
        <v>2355844</v>
      </c>
      <c r="C560" s="60">
        <f t="shared" si="44"/>
        <v>2355844</v>
      </c>
      <c r="D560" s="61">
        <f t="shared" si="40"/>
        <v>1</v>
      </c>
      <c r="E560" s="64">
        <f t="shared" si="42"/>
        <v>235.58437978779492</v>
      </c>
      <c r="F560" s="62" t="str">
        <f t="shared" si="43"/>
        <v/>
      </c>
    </row>
    <row r="561" spans="1:6">
      <c r="A561" s="60">
        <v>55600</v>
      </c>
      <c r="B561" s="60">
        <f t="shared" si="41"/>
        <v>2357965</v>
      </c>
      <c r="C561" s="60">
        <f t="shared" si="44"/>
        <v>2357965</v>
      </c>
      <c r="D561" s="61">
        <f t="shared" si="40"/>
        <v>1</v>
      </c>
      <c r="E561" s="64">
        <f t="shared" si="42"/>
        <v>235.79652245103193</v>
      </c>
      <c r="F561" s="62" t="str">
        <f t="shared" si="43"/>
        <v/>
      </c>
    </row>
    <row r="562" spans="1:6">
      <c r="A562" s="60">
        <v>55700</v>
      </c>
      <c r="B562" s="60">
        <f t="shared" si="41"/>
        <v>2360085</v>
      </c>
      <c r="C562" s="60">
        <f t="shared" si="44"/>
        <v>2360085</v>
      </c>
      <c r="D562" s="61">
        <f t="shared" si="40"/>
        <v>1</v>
      </c>
      <c r="E562" s="64">
        <f t="shared" si="42"/>
        <v>236.00847442411893</v>
      </c>
      <c r="F562" s="62" t="str">
        <f t="shared" si="43"/>
        <v/>
      </c>
    </row>
    <row r="563" spans="1:6">
      <c r="A563" s="60">
        <v>55800</v>
      </c>
      <c r="B563" s="60">
        <f t="shared" si="41"/>
        <v>2362202</v>
      </c>
      <c r="C563" s="60">
        <f t="shared" si="44"/>
        <v>2362202</v>
      </c>
      <c r="D563" s="61">
        <f t="shared" si="40"/>
        <v>1</v>
      </c>
      <c r="E563" s="64">
        <f t="shared" si="42"/>
        <v>236.22023622035434</v>
      </c>
      <c r="F563" s="62" t="str">
        <f t="shared" si="43"/>
        <v/>
      </c>
    </row>
    <row r="564" spans="1:6">
      <c r="A564" s="60">
        <v>55900</v>
      </c>
      <c r="B564" s="60">
        <f t="shared" si="41"/>
        <v>2364318</v>
      </c>
      <c r="C564" s="60">
        <f t="shared" si="44"/>
        <v>2364318</v>
      </c>
      <c r="D564" s="61">
        <f t="shared" si="40"/>
        <v>1</v>
      </c>
      <c r="E564" s="64">
        <f t="shared" si="42"/>
        <v>236.43180835073778</v>
      </c>
      <c r="F564" s="62" t="str">
        <f t="shared" si="43"/>
        <v/>
      </c>
    </row>
    <row r="565" spans="1:6">
      <c r="A565" s="60">
        <v>56000</v>
      </c>
      <c r="B565" s="60">
        <f t="shared" si="41"/>
        <v>2366432</v>
      </c>
      <c r="C565" s="60">
        <f t="shared" si="44"/>
        <v>2366432</v>
      </c>
      <c r="D565" s="61">
        <f t="shared" si="40"/>
        <v>1</v>
      </c>
      <c r="E565" s="64">
        <f t="shared" si="42"/>
        <v>236.64319132398464</v>
      </c>
      <c r="F565" s="62" t="str">
        <f t="shared" si="43"/>
        <v/>
      </c>
    </row>
    <row r="566" spans="1:6">
      <c r="A566" s="60">
        <v>56100</v>
      </c>
      <c r="B566" s="60">
        <f t="shared" si="41"/>
        <v>2368544</v>
      </c>
      <c r="C566" s="60">
        <f t="shared" si="44"/>
        <v>2368544</v>
      </c>
      <c r="D566" s="61">
        <f t="shared" si="40"/>
        <v>1</v>
      </c>
      <c r="E566" s="64">
        <f t="shared" si="42"/>
        <v>236.85438564654024</v>
      </c>
      <c r="F566" s="62" t="str">
        <f t="shared" si="43"/>
        <v/>
      </c>
    </row>
    <row r="567" spans="1:6">
      <c r="A567" s="60">
        <v>56200</v>
      </c>
      <c r="B567" s="60">
        <f t="shared" si="41"/>
        <v>2370654</v>
      </c>
      <c r="C567" s="60">
        <f t="shared" si="44"/>
        <v>2370654</v>
      </c>
      <c r="D567" s="61">
        <f t="shared" si="40"/>
        <v>1</v>
      </c>
      <c r="E567" s="64">
        <f t="shared" si="42"/>
        <v>237.06539182259397</v>
      </c>
      <c r="F567" s="62" t="str">
        <f t="shared" si="43"/>
        <v/>
      </c>
    </row>
    <row r="568" spans="1:6">
      <c r="A568" s="60">
        <v>56300</v>
      </c>
      <c r="B568" s="60">
        <f t="shared" si="41"/>
        <v>2372762</v>
      </c>
      <c r="C568" s="60">
        <f t="shared" si="44"/>
        <v>2372762</v>
      </c>
      <c r="D568" s="61">
        <f t="shared" si="40"/>
        <v>1</v>
      </c>
      <c r="E568" s="64">
        <f t="shared" si="42"/>
        <v>237.27621035409345</v>
      </c>
      <c r="F568" s="62" t="str">
        <f t="shared" si="43"/>
        <v/>
      </c>
    </row>
    <row r="569" spans="1:6">
      <c r="A569" s="60">
        <v>56400</v>
      </c>
      <c r="B569" s="60">
        <f t="shared" si="41"/>
        <v>2374868</v>
      </c>
      <c r="C569" s="60">
        <f t="shared" si="44"/>
        <v>2374868</v>
      </c>
      <c r="D569" s="61">
        <f t="shared" si="40"/>
        <v>1</v>
      </c>
      <c r="E569" s="64">
        <f t="shared" si="42"/>
        <v>237.48684174075834</v>
      </c>
      <c r="F569" s="62" t="str">
        <f t="shared" si="43"/>
        <v/>
      </c>
    </row>
    <row r="570" spans="1:6">
      <c r="A570" s="60">
        <v>56500</v>
      </c>
      <c r="B570" s="60">
        <f t="shared" si="41"/>
        <v>2376973</v>
      </c>
      <c r="C570" s="60">
        <f t="shared" si="44"/>
        <v>2376973</v>
      </c>
      <c r="D570" s="61">
        <f t="shared" si="40"/>
        <v>1</v>
      </c>
      <c r="E570" s="64">
        <f t="shared" si="42"/>
        <v>237.69728648009425</v>
      </c>
      <c r="F570" s="62" t="str">
        <f t="shared" si="43"/>
        <v/>
      </c>
    </row>
    <row r="571" spans="1:6">
      <c r="A571" s="60">
        <v>56600</v>
      </c>
      <c r="B571" s="60">
        <f t="shared" si="41"/>
        <v>2379075</v>
      </c>
      <c r="C571" s="60">
        <f t="shared" si="44"/>
        <v>2379075</v>
      </c>
      <c r="D571" s="61">
        <f t="shared" si="40"/>
        <v>1</v>
      </c>
      <c r="E571" s="64">
        <f t="shared" si="42"/>
        <v>237.90754506740637</v>
      </c>
      <c r="F571" s="62" t="str">
        <f t="shared" si="43"/>
        <v/>
      </c>
    </row>
    <row r="572" spans="1:6">
      <c r="A572" s="60">
        <v>56700</v>
      </c>
      <c r="B572" s="60">
        <f t="shared" si="41"/>
        <v>2381176</v>
      </c>
      <c r="C572" s="60">
        <f t="shared" si="44"/>
        <v>2381176</v>
      </c>
      <c r="D572" s="61">
        <f t="shared" si="40"/>
        <v>1</v>
      </c>
      <c r="E572" s="64">
        <f t="shared" si="42"/>
        <v>238.11761799581316</v>
      </c>
      <c r="F572" s="62" t="str">
        <f t="shared" si="43"/>
        <v/>
      </c>
    </row>
    <row r="573" spans="1:6">
      <c r="A573" s="60">
        <v>56800</v>
      </c>
      <c r="B573" s="60">
        <f t="shared" si="41"/>
        <v>2383275</v>
      </c>
      <c r="C573" s="60">
        <f t="shared" si="44"/>
        <v>2383275</v>
      </c>
      <c r="D573" s="61">
        <f t="shared" si="40"/>
        <v>1</v>
      </c>
      <c r="E573" s="64">
        <f t="shared" si="42"/>
        <v>238.32750575625971</v>
      </c>
      <c r="F573" s="62" t="str">
        <f t="shared" si="43"/>
        <v/>
      </c>
    </row>
    <row r="574" spans="1:6">
      <c r="A574" s="60">
        <v>56900</v>
      </c>
      <c r="B574" s="60">
        <f t="shared" si="41"/>
        <v>2385372</v>
      </c>
      <c r="C574" s="60">
        <f t="shared" si="44"/>
        <v>2385372</v>
      </c>
      <c r="D574" s="61">
        <f t="shared" si="40"/>
        <v>1</v>
      </c>
      <c r="E574" s="64">
        <f t="shared" si="42"/>
        <v>238.53720883753127</v>
      </c>
      <c r="F574" s="62" t="str">
        <f t="shared" si="43"/>
        <v/>
      </c>
    </row>
    <row r="575" spans="1:6">
      <c r="A575" s="60">
        <v>57000</v>
      </c>
      <c r="B575" s="60">
        <f t="shared" si="41"/>
        <v>2387467</v>
      </c>
      <c r="C575" s="60">
        <f t="shared" si="44"/>
        <v>2387467</v>
      </c>
      <c r="D575" s="61">
        <f t="shared" si="40"/>
        <v>1</v>
      </c>
      <c r="E575" s="64">
        <f t="shared" si="42"/>
        <v>238.74672772626644</v>
      </c>
      <c r="F575" s="62" t="str">
        <f t="shared" si="43"/>
        <v/>
      </c>
    </row>
    <row r="576" spans="1:6">
      <c r="A576" s="60">
        <v>57100</v>
      </c>
      <c r="B576" s="60">
        <f t="shared" si="41"/>
        <v>2389561</v>
      </c>
      <c r="C576" s="60">
        <f t="shared" si="44"/>
        <v>2389561</v>
      </c>
      <c r="D576" s="61">
        <f t="shared" si="40"/>
        <v>1</v>
      </c>
      <c r="E576" s="64">
        <f t="shared" si="42"/>
        <v>238.9560629069704</v>
      </c>
      <c r="F576" s="62" t="str">
        <f t="shared" si="43"/>
        <v/>
      </c>
    </row>
    <row r="577" spans="1:6">
      <c r="A577" s="60">
        <v>57200</v>
      </c>
      <c r="B577" s="60">
        <f t="shared" si="41"/>
        <v>2391652</v>
      </c>
      <c r="C577" s="60">
        <f t="shared" si="44"/>
        <v>2391652</v>
      </c>
      <c r="D577" s="61">
        <f t="shared" si="40"/>
        <v>1</v>
      </c>
      <c r="E577" s="64">
        <f t="shared" si="42"/>
        <v>239.16521486202797</v>
      </c>
      <c r="F577" s="62" t="str">
        <f t="shared" si="43"/>
        <v/>
      </c>
    </row>
    <row r="578" spans="1:6">
      <c r="A578" s="60">
        <v>57300</v>
      </c>
      <c r="B578" s="60">
        <f t="shared" si="41"/>
        <v>2393742</v>
      </c>
      <c r="C578" s="60">
        <f t="shared" si="44"/>
        <v>2393742</v>
      </c>
      <c r="D578" s="61">
        <f t="shared" si="40"/>
        <v>1</v>
      </c>
      <c r="E578" s="64">
        <f t="shared" si="42"/>
        <v>239.37418407171648</v>
      </c>
      <c r="F578" s="62" t="str">
        <f t="shared" si="43"/>
        <v/>
      </c>
    </row>
    <row r="579" spans="1:6">
      <c r="A579" s="60">
        <v>57400</v>
      </c>
      <c r="B579" s="60">
        <f t="shared" si="41"/>
        <v>2395830</v>
      </c>
      <c r="C579" s="60">
        <f t="shared" si="44"/>
        <v>2395830</v>
      </c>
      <c r="D579" s="61">
        <f t="shared" si="40"/>
        <v>1</v>
      </c>
      <c r="E579" s="64">
        <f t="shared" si="42"/>
        <v>239.5829710142188</v>
      </c>
      <c r="F579" s="62" t="str">
        <f t="shared" si="43"/>
        <v/>
      </c>
    </row>
    <row r="580" spans="1:6">
      <c r="A580" s="60">
        <v>57500</v>
      </c>
      <c r="B580" s="60">
        <f t="shared" si="41"/>
        <v>2397916</v>
      </c>
      <c r="C580" s="60">
        <f t="shared" si="44"/>
        <v>2397916</v>
      </c>
      <c r="D580" s="61">
        <f t="shared" si="40"/>
        <v>1</v>
      </c>
      <c r="E580" s="64">
        <f t="shared" si="42"/>
        <v>239.79157616563597</v>
      </c>
      <c r="F580" s="62" t="str">
        <f t="shared" si="43"/>
        <v/>
      </c>
    </row>
    <row r="581" spans="1:6">
      <c r="A581" s="60">
        <v>57600</v>
      </c>
      <c r="B581" s="60">
        <f t="shared" si="41"/>
        <v>2400000</v>
      </c>
      <c r="C581" s="60">
        <f t="shared" si="44"/>
        <v>2400000</v>
      </c>
      <c r="D581" s="61">
        <f t="shared" ref="D581:D644" si="45">(A581-INDEX(兵力区间,MATCH(A581,兵力区间,1)))/(INDEX(兵力区间,MATCH(A581,兵力区间,1)+1)-INDEX(兵力区间,MATCH(A581,兵力区间,1)))*((INDEX(兵力调节,MATCH(A581,兵力区间,1)+1,2)-INDEX(兵力调节,MATCH(A581,兵力区间,1),2)))+INDEX(兵力调节,MATCH(A581,兵力区间,1),2)</f>
        <v>1</v>
      </c>
      <c r="E581" s="64">
        <f t="shared" si="42"/>
        <v>240</v>
      </c>
      <c r="F581" s="62" t="str">
        <f t="shared" si="43"/>
        <v/>
      </c>
    </row>
    <row r="582" spans="1:6">
      <c r="A582" s="60">
        <v>57700</v>
      </c>
      <c r="B582" s="60">
        <f t="shared" si="41"/>
        <v>2402082</v>
      </c>
      <c r="C582" s="60">
        <f t="shared" si="44"/>
        <v>2402082</v>
      </c>
      <c r="D582" s="61">
        <f t="shared" si="45"/>
        <v>1</v>
      </c>
      <c r="E582" s="64">
        <f t="shared" si="42"/>
        <v>240.20824298928628</v>
      </c>
      <c r="F582" s="62" t="str">
        <f t="shared" si="43"/>
        <v/>
      </c>
    </row>
    <row r="583" spans="1:6">
      <c r="A583" s="60">
        <v>57800</v>
      </c>
      <c r="B583" s="60">
        <f t="shared" ref="B583:B646" si="46">ROUND(D583*E583*10000,0)</f>
        <v>2404163</v>
      </c>
      <c r="C583" s="60">
        <f t="shared" si="44"/>
        <v>2404163</v>
      </c>
      <c r="D583" s="61">
        <f t="shared" si="45"/>
        <v>1</v>
      </c>
      <c r="E583" s="64">
        <f t="shared" ref="E583:E646" si="47">A583^0.5</f>
        <v>240.41630560342617</v>
      </c>
      <c r="F583" s="62" t="str">
        <f t="shared" si="43"/>
        <v/>
      </c>
    </row>
    <row r="584" spans="1:6">
      <c r="A584" s="60">
        <v>57900</v>
      </c>
      <c r="B584" s="60">
        <f t="shared" si="46"/>
        <v>2406242</v>
      </c>
      <c r="C584" s="60">
        <f t="shared" si="44"/>
        <v>2406242</v>
      </c>
      <c r="D584" s="61">
        <f t="shared" si="45"/>
        <v>1</v>
      </c>
      <c r="E584" s="64">
        <f t="shared" si="47"/>
        <v>240.62418831031928</v>
      </c>
      <c r="F584" s="62" t="str">
        <f t="shared" ref="F584:F647" si="48">IF(B584&lt;B583,1,"")</f>
        <v/>
      </c>
    </row>
    <row r="585" spans="1:6">
      <c r="A585" s="60">
        <v>58000</v>
      </c>
      <c r="B585" s="60">
        <f t="shared" si="46"/>
        <v>2408319</v>
      </c>
      <c r="C585" s="60">
        <f t="shared" si="44"/>
        <v>2408319</v>
      </c>
      <c r="D585" s="61">
        <f t="shared" si="45"/>
        <v>1</v>
      </c>
      <c r="E585" s="64">
        <f t="shared" si="47"/>
        <v>240.8318915758459</v>
      </c>
      <c r="F585" s="62" t="str">
        <f t="shared" si="48"/>
        <v/>
      </c>
    </row>
    <row r="586" spans="1:6">
      <c r="A586" s="60">
        <v>58100</v>
      </c>
      <c r="B586" s="60">
        <f t="shared" si="46"/>
        <v>2410394</v>
      </c>
      <c r="C586" s="60">
        <f t="shared" si="44"/>
        <v>2410394</v>
      </c>
      <c r="D586" s="61">
        <f t="shared" si="45"/>
        <v>1</v>
      </c>
      <c r="E586" s="64">
        <f t="shared" si="47"/>
        <v>241.03941586387899</v>
      </c>
      <c r="F586" s="62" t="str">
        <f t="shared" si="48"/>
        <v/>
      </c>
    </row>
    <row r="587" spans="1:6">
      <c r="A587" s="60">
        <v>58200</v>
      </c>
      <c r="B587" s="60">
        <f t="shared" si="46"/>
        <v>2412468</v>
      </c>
      <c r="C587" s="60">
        <f t="shared" ref="C587:C650" si="49">ROUND(D587*E587*10000,0)</f>
        <v>2412468</v>
      </c>
      <c r="D587" s="61">
        <f t="shared" si="45"/>
        <v>1</v>
      </c>
      <c r="E587" s="64">
        <f t="shared" si="47"/>
        <v>241.24676163629638</v>
      </c>
      <c r="F587" s="62" t="str">
        <f t="shared" si="48"/>
        <v/>
      </c>
    </row>
    <row r="588" spans="1:6">
      <c r="A588" s="60">
        <v>58300</v>
      </c>
      <c r="B588" s="60">
        <f t="shared" si="46"/>
        <v>2414539</v>
      </c>
      <c r="C588" s="60">
        <f t="shared" si="49"/>
        <v>2414539</v>
      </c>
      <c r="D588" s="61">
        <f t="shared" si="45"/>
        <v>1</v>
      </c>
      <c r="E588" s="64">
        <f t="shared" si="47"/>
        <v>241.45392935299273</v>
      </c>
      <c r="F588" s="62" t="str">
        <f t="shared" si="48"/>
        <v/>
      </c>
    </row>
    <row r="589" spans="1:6">
      <c r="A589" s="60">
        <v>58400</v>
      </c>
      <c r="B589" s="60">
        <f t="shared" si="46"/>
        <v>2416609</v>
      </c>
      <c r="C589" s="60">
        <f t="shared" si="49"/>
        <v>2416609</v>
      </c>
      <c r="D589" s="61">
        <f t="shared" si="45"/>
        <v>1</v>
      </c>
      <c r="E589" s="64">
        <f t="shared" si="47"/>
        <v>241.66091947189145</v>
      </c>
      <c r="F589" s="62" t="str">
        <f t="shared" si="48"/>
        <v/>
      </c>
    </row>
    <row r="590" spans="1:6">
      <c r="A590" s="60">
        <v>58500</v>
      </c>
      <c r="B590" s="60">
        <f t="shared" si="46"/>
        <v>2418677</v>
      </c>
      <c r="C590" s="60">
        <f t="shared" si="49"/>
        <v>2418677</v>
      </c>
      <c r="D590" s="61">
        <f t="shared" si="45"/>
        <v>1</v>
      </c>
      <c r="E590" s="64">
        <f t="shared" si="47"/>
        <v>241.8677324489565</v>
      </c>
      <c r="F590" s="62" t="str">
        <f t="shared" si="48"/>
        <v/>
      </c>
    </row>
    <row r="591" spans="1:6">
      <c r="A591" s="60">
        <v>58600</v>
      </c>
      <c r="B591" s="60">
        <f t="shared" si="46"/>
        <v>2420744</v>
      </c>
      <c r="C591" s="60">
        <f t="shared" si="49"/>
        <v>2420744</v>
      </c>
      <c r="D591" s="61">
        <f t="shared" si="45"/>
        <v>1</v>
      </c>
      <c r="E591" s="64">
        <f t="shared" si="47"/>
        <v>242.0743687382041</v>
      </c>
      <c r="F591" s="62" t="str">
        <f t="shared" si="48"/>
        <v/>
      </c>
    </row>
    <row r="592" spans="1:6">
      <c r="A592" s="60">
        <v>58700</v>
      </c>
      <c r="B592" s="60">
        <f t="shared" si="46"/>
        <v>2422808</v>
      </c>
      <c r="C592" s="60">
        <f t="shared" si="49"/>
        <v>2422808</v>
      </c>
      <c r="D592" s="61">
        <f t="shared" si="45"/>
        <v>1</v>
      </c>
      <c r="E592" s="64">
        <f t="shared" si="47"/>
        <v>242.28082879171436</v>
      </c>
      <c r="F592" s="62" t="str">
        <f t="shared" si="48"/>
        <v/>
      </c>
    </row>
    <row r="593" spans="1:6">
      <c r="A593" s="60">
        <v>58800</v>
      </c>
      <c r="B593" s="60">
        <f t="shared" si="46"/>
        <v>2424871</v>
      </c>
      <c r="C593" s="60">
        <f t="shared" si="49"/>
        <v>2424871</v>
      </c>
      <c r="D593" s="61">
        <f t="shared" si="45"/>
        <v>1</v>
      </c>
      <c r="E593" s="64">
        <f t="shared" si="47"/>
        <v>242.48711305964281</v>
      </c>
      <c r="F593" s="62" t="str">
        <f t="shared" si="48"/>
        <v/>
      </c>
    </row>
    <row r="594" spans="1:6">
      <c r="A594" s="60">
        <v>58900</v>
      </c>
      <c r="B594" s="60">
        <f t="shared" si="46"/>
        <v>2426932</v>
      </c>
      <c r="C594" s="60">
        <f t="shared" si="49"/>
        <v>2426932</v>
      </c>
      <c r="D594" s="61">
        <f t="shared" si="45"/>
        <v>1</v>
      </c>
      <c r="E594" s="64">
        <f t="shared" si="47"/>
        <v>242.69322199023193</v>
      </c>
      <c r="F594" s="62" t="str">
        <f t="shared" si="48"/>
        <v/>
      </c>
    </row>
    <row r="595" spans="1:6">
      <c r="A595" s="60">
        <v>59000</v>
      </c>
      <c r="B595" s="60">
        <f t="shared" si="46"/>
        <v>2428992</v>
      </c>
      <c r="C595" s="60">
        <f t="shared" si="49"/>
        <v>2428992</v>
      </c>
      <c r="D595" s="61">
        <f t="shared" si="45"/>
        <v>1</v>
      </c>
      <c r="E595" s="64">
        <f t="shared" si="47"/>
        <v>242.89915602982239</v>
      </c>
      <c r="F595" s="62" t="str">
        <f t="shared" si="48"/>
        <v/>
      </c>
    </row>
    <row r="596" spans="1:6">
      <c r="A596" s="60">
        <v>59100</v>
      </c>
      <c r="B596" s="60">
        <f t="shared" si="46"/>
        <v>2431049</v>
      </c>
      <c r="C596" s="60">
        <f t="shared" si="49"/>
        <v>2431049</v>
      </c>
      <c r="D596" s="61">
        <f t="shared" si="45"/>
        <v>1</v>
      </c>
      <c r="E596" s="64">
        <f t="shared" si="47"/>
        <v>243.10491562286435</v>
      </c>
      <c r="F596" s="62" t="str">
        <f t="shared" si="48"/>
        <v/>
      </c>
    </row>
    <row r="597" spans="1:6">
      <c r="A597" s="60">
        <v>59200</v>
      </c>
      <c r="B597" s="60">
        <f t="shared" si="46"/>
        <v>2433105</v>
      </c>
      <c r="C597" s="60">
        <f t="shared" si="49"/>
        <v>2433105</v>
      </c>
      <c r="D597" s="61">
        <f t="shared" si="45"/>
        <v>1</v>
      </c>
      <c r="E597" s="64">
        <f t="shared" si="47"/>
        <v>243.31050121192879</v>
      </c>
      <c r="F597" s="62" t="str">
        <f t="shared" si="48"/>
        <v/>
      </c>
    </row>
    <row r="598" spans="1:6">
      <c r="A598" s="60">
        <v>59300</v>
      </c>
      <c r="B598" s="60">
        <f t="shared" si="46"/>
        <v>2435159</v>
      </c>
      <c r="C598" s="60">
        <f t="shared" si="49"/>
        <v>2435159</v>
      </c>
      <c r="D598" s="61">
        <f t="shared" si="45"/>
        <v>1</v>
      </c>
      <c r="E598" s="64">
        <f t="shared" si="47"/>
        <v>243.51591323771842</v>
      </c>
      <c r="F598" s="62" t="str">
        <f t="shared" si="48"/>
        <v/>
      </c>
    </row>
    <row r="599" spans="1:6">
      <c r="A599" s="60">
        <v>59400</v>
      </c>
      <c r="B599" s="60">
        <f t="shared" si="46"/>
        <v>2437212</v>
      </c>
      <c r="C599" s="60">
        <f t="shared" si="49"/>
        <v>2437212</v>
      </c>
      <c r="D599" s="61">
        <f t="shared" si="45"/>
        <v>1</v>
      </c>
      <c r="E599" s="64">
        <f t="shared" si="47"/>
        <v>243.72115213907881</v>
      </c>
      <c r="F599" s="62" t="str">
        <f t="shared" si="48"/>
        <v/>
      </c>
    </row>
    <row r="600" spans="1:6">
      <c r="A600" s="60">
        <v>59500</v>
      </c>
      <c r="B600" s="60">
        <f t="shared" si="46"/>
        <v>2439262</v>
      </c>
      <c r="C600" s="60">
        <f t="shared" si="49"/>
        <v>2439262</v>
      </c>
      <c r="D600" s="61">
        <f t="shared" si="45"/>
        <v>1</v>
      </c>
      <c r="E600" s="64">
        <f t="shared" si="47"/>
        <v>243.92621835300935</v>
      </c>
      <c r="F600" s="62" t="str">
        <f t="shared" si="48"/>
        <v/>
      </c>
    </row>
    <row r="601" spans="1:6">
      <c r="A601" s="60">
        <v>59600</v>
      </c>
      <c r="B601" s="60">
        <f t="shared" si="46"/>
        <v>2441311</v>
      </c>
      <c r="C601" s="60">
        <f t="shared" si="49"/>
        <v>2441311</v>
      </c>
      <c r="D601" s="61">
        <f t="shared" si="45"/>
        <v>1</v>
      </c>
      <c r="E601" s="64">
        <f t="shared" si="47"/>
        <v>244.13111231467406</v>
      </c>
      <c r="F601" s="62" t="str">
        <f t="shared" si="48"/>
        <v/>
      </c>
    </row>
    <row r="602" spans="1:6">
      <c r="A602" s="60">
        <v>59700</v>
      </c>
      <c r="B602" s="60">
        <f t="shared" si="46"/>
        <v>2443358</v>
      </c>
      <c r="C602" s="60">
        <f t="shared" si="49"/>
        <v>2443358</v>
      </c>
      <c r="D602" s="61">
        <f t="shared" si="45"/>
        <v>1</v>
      </c>
      <c r="E602" s="64">
        <f t="shared" si="47"/>
        <v>244.33583445741232</v>
      </c>
      <c r="F602" s="62" t="str">
        <f t="shared" si="48"/>
        <v/>
      </c>
    </row>
    <row r="603" spans="1:6">
      <c r="A603" s="60">
        <v>59800</v>
      </c>
      <c r="B603" s="60">
        <f t="shared" si="46"/>
        <v>2445404</v>
      </c>
      <c r="C603" s="60">
        <f t="shared" si="49"/>
        <v>2445404</v>
      </c>
      <c r="D603" s="61">
        <f t="shared" si="45"/>
        <v>1</v>
      </c>
      <c r="E603" s="64">
        <f t="shared" si="47"/>
        <v>244.54038521274967</v>
      </c>
      <c r="F603" s="62" t="str">
        <f t="shared" si="48"/>
        <v/>
      </c>
    </row>
    <row r="604" spans="1:6">
      <c r="A604" s="60">
        <v>59900</v>
      </c>
      <c r="B604" s="60">
        <f t="shared" si="46"/>
        <v>2447448</v>
      </c>
      <c r="C604" s="60">
        <f t="shared" si="49"/>
        <v>2447448</v>
      </c>
      <c r="D604" s="61">
        <f t="shared" si="45"/>
        <v>1</v>
      </c>
      <c r="E604" s="64">
        <f t="shared" si="47"/>
        <v>244.74476501040834</v>
      </c>
      <c r="F604" s="62" t="str">
        <f t="shared" si="48"/>
        <v/>
      </c>
    </row>
    <row r="605" spans="1:6">
      <c r="A605" s="60">
        <v>60000</v>
      </c>
      <c r="B605" s="60">
        <f t="shared" si="46"/>
        <v>2449490</v>
      </c>
      <c r="C605" s="60">
        <f t="shared" si="49"/>
        <v>2449490</v>
      </c>
      <c r="D605" s="61">
        <f t="shared" si="45"/>
        <v>1</v>
      </c>
      <c r="E605" s="64">
        <f t="shared" si="47"/>
        <v>244.94897427831782</v>
      </c>
      <c r="F605" s="62" t="str">
        <f t="shared" si="48"/>
        <v/>
      </c>
    </row>
    <row r="606" spans="1:6">
      <c r="A606" s="60">
        <v>60100</v>
      </c>
      <c r="B606" s="60">
        <f t="shared" si="46"/>
        <v>2451530</v>
      </c>
      <c r="C606" s="60">
        <f t="shared" si="49"/>
        <v>2451530</v>
      </c>
      <c r="D606" s="61">
        <f t="shared" si="45"/>
        <v>1</v>
      </c>
      <c r="E606" s="64">
        <f t="shared" si="47"/>
        <v>245.15301344262525</v>
      </c>
      <c r="F606" s="62" t="str">
        <f t="shared" si="48"/>
        <v/>
      </c>
    </row>
    <row r="607" spans="1:6">
      <c r="A607" s="60">
        <v>60200</v>
      </c>
      <c r="B607" s="60">
        <f t="shared" si="46"/>
        <v>2453569</v>
      </c>
      <c r="C607" s="60">
        <f t="shared" si="49"/>
        <v>2453569</v>
      </c>
      <c r="D607" s="61">
        <f t="shared" si="45"/>
        <v>1</v>
      </c>
      <c r="E607" s="64">
        <f t="shared" si="47"/>
        <v>245.35688292770595</v>
      </c>
      <c r="F607" s="62" t="str">
        <f t="shared" si="48"/>
        <v/>
      </c>
    </row>
    <row r="608" spans="1:6">
      <c r="A608" s="60">
        <v>60300</v>
      </c>
      <c r="B608" s="60">
        <f t="shared" si="46"/>
        <v>2455606</v>
      </c>
      <c r="C608" s="60">
        <f t="shared" si="49"/>
        <v>2455606</v>
      </c>
      <c r="D608" s="61">
        <f t="shared" si="45"/>
        <v>1</v>
      </c>
      <c r="E608" s="64">
        <f t="shared" si="47"/>
        <v>245.56058315617349</v>
      </c>
      <c r="F608" s="62" t="str">
        <f t="shared" si="48"/>
        <v/>
      </c>
    </row>
    <row r="609" spans="1:6">
      <c r="A609" s="60">
        <v>60400</v>
      </c>
      <c r="B609" s="60">
        <f t="shared" si="46"/>
        <v>2457641</v>
      </c>
      <c r="C609" s="60">
        <f t="shared" si="49"/>
        <v>2457641</v>
      </c>
      <c r="D609" s="61">
        <f t="shared" si="45"/>
        <v>1</v>
      </c>
      <c r="E609" s="64">
        <f t="shared" si="47"/>
        <v>245.76411454889015</v>
      </c>
      <c r="F609" s="62" t="str">
        <f t="shared" si="48"/>
        <v/>
      </c>
    </row>
    <row r="610" spans="1:6">
      <c r="A610" s="60">
        <v>60500</v>
      </c>
      <c r="B610" s="60">
        <f t="shared" si="46"/>
        <v>2459675</v>
      </c>
      <c r="C610" s="60">
        <f t="shared" si="49"/>
        <v>2459675</v>
      </c>
      <c r="D610" s="61">
        <f t="shared" si="45"/>
        <v>1</v>
      </c>
      <c r="E610" s="64">
        <f t="shared" si="47"/>
        <v>245.96747752497686</v>
      </c>
      <c r="F610" s="62" t="str">
        <f t="shared" si="48"/>
        <v/>
      </c>
    </row>
    <row r="611" spans="1:6">
      <c r="A611" s="60">
        <v>60600</v>
      </c>
      <c r="B611" s="60">
        <f t="shared" si="46"/>
        <v>2461707</v>
      </c>
      <c r="C611" s="60">
        <f t="shared" si="49"/>
        <v>2461707</v>
      </c>
      <c r="D611" s="61">
        <f t="shared" si="45"/>
        <v>1</v>
      </c>
      <c r="E611" s="64">
        <f t="shared" si="47"/>
        <v>246.17067250182342</v>
      </c>
      <c r="F611" s="62" t="str">
        <f t="shared" si="48"/>
        <v/>
      </c>
    </row>
    <row r="612" spans="1:6">
      <c r="A612" s="60">
        <v>60700</v>
      </c>
      <c r="B612" s="60">
        <f t="shared" si="46"/>
        <v>2463737</v>
      </c>
      <c r="C612" s="60">
        <f t="shared" si="49"/>
        <v>2463737</v>
      </c>
      <c r="D612" s="61">
        <f t="shared" si="45"/>
        <v>1</v>
      </c>
      <c r="E612" s="64">
        <f t="shared" si="47"/>
        <v>246.37369989509838</v>
      </c>
      <c r="F612" s="62" t="str">
        <f t="shared" si="48"/>
        <v/>
      </c>
    </row>
    <row r="613" spans="1:6">
      <c r="A613" s="60">
        <v>60800</v>
      </c>
      <c r="B613" s="60">
        <f t="shared" si="46"/>
        <v>2465766</v>
      </c>
      <c r="C613" s="60">
        <f t="shared" si="49"/>
        <v>2465766</v>
      </c>
      <c r="D613" s="61">
        <f t="shared" si="45"/>
        <v>1</v>
      </c>
      <c r="E613" s="64">
        <f t="shared" si="47"/>
        <v>246.57656011875906</v>
      </c>
      <c r="F613" s="62" t="str">
        <f t="shared" si="48"/>
        <v/>
      </c>
    </row>
    <row r="614" spans="1:6">
      <c r="A614" s="60">
        <v>60900</v>
      </c>
      <c r="B614" s="60">
        <f t="shared" si="46"/>
        <v>2467793</v>
      </c>
      <c r="C614" s="60">
        <f t="shared" si="49"/>
        <v>2467793</v>
      </c>
      <c r="D614" s="61">
        <f t="shared" si="45"/>
        <v>1</v>
      </c>
      <c r="E614" s="64">
        <f t="shared" si="47"/>
        <v>246.77925358506133</v>
      </c>
      <c r="F614" s="62" t="str">
        <f t="shared" si="48"/>
        <v/>
      </c>
    </row>
    <row r="615" spans="1:6">
      <c r="A615" s="60">
        <v>61000</v>
      </c>
      <c r="B615" s="60">
        <f t="shared" si="46"/>
        <v>2469818</v>
      </c>
      <c r="C615" s="60">
        <f t="shared" si="49"/>
        <v>2469818</v>
      </c>
      <c r="D615" s="61">
        <f t="shared" si="45"/>
        <v>1</v>
      </c>
      <c r="E615" s="64">
        <f t="shared" si="47"/>
        <v>246.98178070456939</v>
      </c>
      <c r="F615" s="62" t="str">
        <f t="shared" si="48"/>
        <v/>
      </c>
    </row>
    <row r="616" spans="1:6">
      <c r="A616" s="60">
        <v>61100</v>
      </c>
      <c r="B616" s="60">
        <f t="shared" si="46"/>
        <v>2471841</v>
      </c>
      <c r="C616" s="60">
        <f t="shared" si="49"/>
        <v>2471841</v>
      </c>
      <c r="D616" s="61">
        <f t="shared" si="45"/>
        <v>1</v>
      </c>
      <c r="E616" s="64">
        <f t="shared" si="47"/>
        <v>247.18414188616549</v>
      </c>
      <c r="F616" s="62" t="str">
        <f t="shared" si="48"/>
        <v/>
      </c>
    </row>
    <row r="617" spans="1:6">
      <c r="A617" s="60">
        <v>61200</v>
      </c>
      <c r="B617" s="60">
        <f t="shared" si="46"/>
        <v>2473863</v>
      </c>
      <c r="C617" s="60">
        <f t="shared" si="49"/>
        <v>2473863</v>
      </c>
      <c r="D617" s="61">
        <f t="shared" si="45"/>
        <v>1</v>
      </c>
      <c r="E617" s="64">
        <f t="shared" si="47"/>
        <v>247.38633753705963</v>
      </c>
      <c r="F617" s="62" t="str">
        <f t="shared" si="48"/>
        <v/>
      </c>
    </row>
    <row r="618" spans="1:6">
      <c r="A618" s="60">
        <v>61300</v>
      </c>
      <c r="B618" s="60">
        <f t="shared" si="46"/>
        <v>2475884</v>
      </c>
      <c r="C618" s="60">
        <f t="shared" si="49"/>
        <v>2475884</v>
      </c>
      <c r="D618" s="61">
        <f t="shared" si="45"/>
        <v>1</v>
      </c>
      <c r="E618" s="64">
        <f t="shared" si="47"/>
        <v>247.58836806279893</v>
      </c>
      <c r="F618" s="62" t="str">
        <f t="shared" si="48"/>
        <v/>
      </c>
    </row>
    <row r="619" spans="1:6">
      <c r="A619" s="60">
        <v>61400</v>
      </c>
      <c r="B619" s="60">
        <f t="shared" si="46"/>
        <v>2477902</v>
      </c>
      <c r="C619" s="60">
        <f t="shared" si="49"/>
        <v>2477902</v>
      </c>
      <c r="D619" s="61">
        <f t="shared" si="45"/>
        <v>1</v>
      </c>
      <c r="E619" s="64">
        <f t="shared" si="47"/>
        <v>247.79023386727735</v>
      </c>
      <c r="F619" s="62" t="str">
        <f t="shared" si="48"/>
        <v/>
      </c>
    </row>
    <row r="620" spans="1:6">
      <c r="A620" s="60">
        <v>61500</v>
      </c>
      <c r="B620" s="60">
        <f t="shared" si="46"/>
        <v>2479919</v>
      </c>
      <c r="C620" s="60">
        <f t="shared" si="49"/>
        <v>2479919</v>
      </c>
      <c r="D620" s="61">
        <f t="shared" si="45"/>
        <v>1</v>
      </c>
      <c r="E620" s="64">
        <f t="shared" si="47"/>
        <v>247.99193535274489</v>
      </c>
      <c r="F620" s="62" t="str">
        <f t="shared" si="48"/>
        <v/>
      </c>
    </row>
    <row r="621" spans="1:6">
      <c r="A621" s="60">
        <v>61600</v>
      </c>
      <c r="B621" s="60">
        <f t="shared" si="46"/>
        <v>2481935</v>
      </c>
      <c r="C621" s="60">
        <f t="shared" si="49"/>
        <v>2481935</v>
      </c>
      <c r="D621" s="61">
        <f t="shared" si="45"/>
        <v>1</v>
      </c>
      <c r="E621" s="64">
        <f t="shared" si="47"/>
        <v>248.19347291981714</v>
      </c>
      <c r="F621" s="62" t="str">
        <f t="shared" si="48"/>
        <v/>
      </c>
    </row>
    <row r="622" spans="1:6">
      <c r="A622" s="60">
        <v>61700</v>
      </c>
      <c r="B622" s="60">
        <f t="shared" si="46"/>
        <v>2483948</v>
      </c>
      <c r="C622" s="60">
        <f t="shared" si="49"/>
        <v>2483948</v>
      </c>
      <c r="D622" s="61">
        <f t="shared" si="45"/>
        <v>1</v>
      </c>
      <c r="E622" s="64">
        <f t="shared" si="47"/>
        <v>248.39484696748443</v>
      </c>
      <c r="F622" s="62" t="str">
        <f t="shared" si="48"/>
        <v/>
      </c>
    </row>
    <row r="623" spans="1:6">
      <c r="A623" s="60">
        <v>61800</v>
      </c>
      <c r="B623" s="60">
        <f t="shared" si="46"/>
        <v>2485961</v>
      </c>
      <c r="C623" s="60">
        <f t="shared" si="49"/>
        <v>2485961</v>
      </c>
      <c r="D623" s="61">
        <f t="shared" si="45"/>
        <v>1</v>
      </c>
      <c r="E623" s="64">
        <f t="shared" si="47"/>
        <v>248.59605789312107</v>
      </c>
      <c r="F623" s="62" t="str">
        <f t="shared" si="48"/>
        <v/>
      </c>
    </row>
    <row r="624" spans="1:6">
      <c r="A624" s="60">
        <v>61900</v>
      </c>
      <c r="B624" s="60">
        <f t="shared" si="46"/>
        <v>2487971</v>
      </c>
      <c r="C624" s="60">
        <f t="shared" si="49"/>
        <v>2487971</v>
      </c>
      <c r="D624" s="61">
        <f t="shared" si="45"/>
        <v>1</v>
      </c>
      <c r="E624" s="64">
        <f t="shared" si="47"/>
        <v>248.79710609249457</v>
      </c>
      <c r="F624" s="62" t="str">
        <f t="shared" si="48"/>
        <v/>
      </c>
    </row>
    <row r="625" spans="1:6">
      <c r="A625" s="60">
        <v>62000</v>
      </c>
      <c r="B625" s="60">
        <f t="shared" si="46"/>
        <v>2489980</v>
      </c>
      <c r="C625" s="60">
        <f t="shared" si="49"/>
        <v>2489980</v>
      </c>
      <c r="D625" s="61">
        <f t="shared" si="45"/>
        <v>1</v>
      </c>
      <c r="E625" s="64">
        <f t="shared" si="47"/>
        <v>248.99799195977465</v>
      </c>
      <c r="F625" s="62" t="str">
        <f t="shared" si="48"/>
        <v/>
      </c>
    </row>
    <row r="626" spans="1:6">
      <c r="A626" s="60">
        <v>62100</v>
      </c>
      <c r="B626" s="60">
        <f t="shared" si="46"/>
        <v>2491987</v>
      </c>
      <c r="C626" s="60">
        <f t="shared" si="49"/>
        <v>2491987</v>
      </c>
      <c r="D626" s="61">
        <f t="shared" si="45"/>
        <v>1</v>
      </c>
      <c r="E626" s="64">
        <f t="shared" si="47"/>
        <v>249.19871588754225</v>
      </c>
      <c r="F626" s="62" t="str">
        <f t="shared" si="48"/>
        <v/>
      </c>
    </row>
    <row r="627" spans="1:6">
      <c r="A627" s="60">
        <v>62200</v>
      </c>
      <c r="B627" s="60">
        <f t="shared" si="46"/>
        <v>2493993</v>
      </c>
      <c r="C627" s="60">
        <f t="shared" si="49"/>
        <v>2493993</v>
      </c>
      <c r="D627" s="61">
        <f t="shared" si="45"/>
        <v>1</v>
      </c>
      <c r="E627" s="64">
        <f t="shared" si="47"/>
        <v>249.39927826679852</v>
      </c>
      <c r="F627" s="62" t="str">
        <f t="shared" si="48"/>
        <v/>
      </c>
    </row>
    <row r="628" spans="1:6">
      <c r="A628" s="60">
        <v>62300</v>
      </c>
      <c r="B628" s="60">
        <f t="shared" si="46"/>
        <v>2495997</v>
      </c>
      <c r="C628" s="60">
        <f t="shared" si="49"/>
        <v>2495997</v>
      </c>
      <c r="D628" s="61">
        <f t="shared" si="45"/>
        <v>1</v>
      </c>
      <c r="E628" s="64">
        <f t="shared" si="47"/>
        <v>249.59967948697371</v>
      </c>
      <c r="F628" s="62" t="str">
        <f t="shared" si="48"/>
        <v/>
      </c>
    </row>
    <row r="629" spans="1:6">
      <c r="A629" s="60">
        <v>62400</v>
      </c>
      <c r="B629" s="60">
        <f t="shared" si="46"/>
        <v>2497999</v>
      </c>
      <c r="C629" s="60">
        <f t="shared" si="49"/>
        <v>2497999</v>
      </c>
      <c r="D629" s="61">
        <f t="shared" si="45"/>
        <v>1</v>
      </c>
      <c r="E629" s="64">
        <f t="shared" si="47"/>
        <v>249.79991993593592</v>
      </c>
      <c r="F629" s="62" t="str">
        <f t="shared" si="48"/>
        <v/>
      </c>
    </row>
    <row r="630" spans="1:6">
      <c r="A630" s="60">
        <v>62500</v>
      </c>
      <c r="B630" s="60">
        <f t="shared" si="46"/>
        <v>2500000</v>
      </c>
      <c r="C630" s="60">
        <f t="shared" si="49"/>
        <v>2500000</v>
      </c>
      <c r="D630" s="61">
        <f t="shared" si="45"/>
        <v>1</v>
      </c>
      <c r="E630" s="64">
        <f t="shared" si="47"/>
        <v>250</v>
      </c>
      <c r="F630" s="62" t="str">
        <f t="shared" si="48"/>
        <v/>
      </c>
    </row>
    <row r="631" spans="1:6">
      <c r="A631" s="60">
        <v>62600</v>
      </c>
      <c r="B631" s="60">
        <f t="shared" si="46"/>
        <v>2501999</v>
      </c>
      <c r="C631" s="60">
        <f t="shared" si="49"/>
        <v>2501999</v>
      </c>
      <c r="D631" s="61">
        <f t="shared" si="45"/>
        <v>1</v>
      </c>
      <c r="E631" s="64">
        <f t="shared" si="47"/>
        <v>250.19992006393608</v>
      </c>
      <c r="F631" s="62" t="str">
        <f t="shared" si="48"/>
        <v/>
      </c>
    </row>
    <row r="632" spans="1:6">
      <c r="A632" s="60">
        <v>62700</v>
      </c>
      <c r="B632" s="60">
        <f t="shared" si="46"/>
        <v>2503997</v>
      </c>
      <c r="C632" s="60">
        <f t="shared" si="49"/>
        <v>2503997</v>
      </c>
      <c r="D632" s="61">
        <f t="shared" si="45"/>
        <v>1</v>
      </c>
      <c r="E632" s="64">
        <f t="shared" si="47"/>
        <v>250.3996805109783</v>
      </c>
      <c r="F632" s="62" t="str">
        <f t="shared" si="48"/>
        <v/>
      </c>
    </row>
    <row r="633" spans="1:6">
      <c r="A633" s="60">
        <v>62800</v>
      </c>
      <c r="B633" s="60">
        <f t="shared" si="46"/>
        <v>2505993</v>
      </c>
      <c r="C633" s="60">
        <f t="shared" si="49"/>
        <v>2505993</v>
      </c>
      <c r="D633" s="61">
        <f t="shared" si="45"/>
        <v>1</v>
      </c>
      <c r="E633" s="64">
        <f t="shared" si="47"/>
        <v>250.59928172283335</v>
      </c>
      <c r="F633" s="62" t="str">
        <f t="shared" si="48"/>
        <v/>
      </c>
    </row>
    <row r="634" spans="1:6">
      <c r="A634" s="60">
        <v>62900</v>
      </c>
      <c r="B634" s="60">
        <f t="shared" si="46"/>
        <v>2507987</v>
      </c>
      <c r="C634" s="60">
        <f t="shared" si="49"/>
        <v>2507987</v>
      </c>
      <c r="D634" s="61">
        <f t="shared" si="45"/>
        <v>1</v>
      </c>
      <c r="E634" s="64">
        <f t="shared" si="47"/>
        <v>250.79872407968904</v>
      </c>
      <c r="F634" s="62" t="str">
        <f t="shared" si="48"/>
        <v/>
      </c>
    </row>
    <row r="635" spans="1:6">
      <c r="A635" s="60">
        <v>63000</v>
      </c>
      <c r="B635" s="60">
        <f t="shared" si="46"/>
        <v>2509980</v>
      </c>
      <c r="C635" s="60">
        <f t="shared" si="49"/>
        <v>2509980</v>
      </c>
      <c r="D635" s="61">
        <f t="shared" si="45"/>
        <v>1</v>
      </c>
      <c r="E635" s="64">
        <f t="shared" si="47"/>
        <v>250.99800796022265</v>
      </c>
      <c r="F635" s="62" t="str">
        <f t="shared" si="48"/>
        <v/>
      </c>
    </row>
    <row r="636" spans="1:6">
      <c r="A636" s="60">
        <v>63100</v>
      </c>
      <c r="B636" s="60">
        <f t="shared" si="46"/>
        <v>2511971</v>
      </c>
      <c r="C636" s="60">
        <f t="shared" si="49"/>
        <v>2511971</v>
      </c>
      <c r="D636" s="61">
        <f t="shared" si="45"/>
        <v>1</v>
      </c>
      <c r="E636" s="64">
        <f t="shared" si="47"/>
        <v>251.19713374160941</v>
      </c>
      <c r="F636" s="62" t="str">
        <f t="shared" si="48"/>
        <v/>
      </c>
    </row>
    <row r="637" spans="1:6">
      <c r="A637" s="60">
        <v>63200</v>
      </c>
      <c r="B637" s="60">
        <f t="shared" si="46"/>
        <v>2513961</v>
      </c>
      <c r="C637" s="60">
        <f t="shared" si="49"/>
        <v>2513961</v>
      </c>
      <c r="D637" s="61">
        <f t="shared" si="45"/>
        <v>1</v>
      </c>
      <c r="E637" s="64">
        <f t="shared" si="47"/>
        <v>251.3961017995307</v>
      </c>
      <c r="F637" s="62" t="str">
        <f t="shared" si="48"/>
        <v/>
      </c>
    </row>
    <row r="638" spans="1:6">
      <c r="A638" s="60">
        <v>63300</v>
      </c>
      <c r="B638" s="60">
        <f t="shared" si="46"/>
        <v>2515949</v>
      </c>
      <c r="C638" s="60">
        <f t="shared" si="49"/>
        <v>2515949</v>
      </c>
      <c r="D638" s="61">
        <f t="shared" si="45"/>
        <v>1</v>
      </c>
      <c r="E638" s="64">
        <f t="shared" si="47"/>
        <v>251.59491250818249</v>
      </c>
      <c r="F638" s="62" t="str">
        <f t="shared" si="48"/>
        <v/>
      </c>
    </row>
    <row r="639" spans="1:6">
      <c r="A639" s="60">
        <v>63400</v>
      </c>
      <c r="B639" s="60">
        <f t="shared" si="46"/>
        <v>2517936</v>
      </c>
      <c r="C639" s="60">
        <f t="shared" si="49"/>
        <v>2517936</v>
      </c>
      <c r="D639" s="61">
        <f t="shared" si="45"/>
        <v>1</v>
      </c>
      <c r="E639" s="64">
        <f t="shared" si="47"/>
        <v>251.79356624028344</v>
      </c>
      <c r="F639" s="62" t="str">
        <f t="shared" si="48"/>
        <v/>
      </c>
    </row>
    <row r="640" spans="1:6">
      <c r="A640" s="60">
        <v>63500</v>
      </c>
      <c r="B640" s="60">
        <f t="shared" si="46"/>
        <v>2519921</v>
      </c>
      <c r="C640" s="60">
        <f t="shared" si="49"/>
        <v>2519921</v>
      </c>
      <c r="D640" s="61">
        <f t="shared" si="45"/>
        <v>1</v>
      </c>
      <c r="E640" s="64">
        <f t="shared" si="47"/>
        <v>251.99206336708306</v>
      </c>
      <c r="F640" s="62" t="str">
        <f t="shared" si="48"/>
        <v/>
      </c>
    </row>
    <row r="641" spans="1:6">
      <c r="A641" s="60">
        <v>63600</v>
      </c>
      <c r="B641" s="60">
        <f t="shared" si="46"/>
        <v>2521904</v>
      </c>
      <c r="C641" s="60">
        <f t="shared" si="49"/>
        <v>2521904</v>
      </c>
      <c r="D641" s="61">
        <f t="shared" si="45"/>
        <v>1</v>
      </c>
      <c r="E641" s="64">
        <f t="shared" si="47"/>
        <v>252.19040425836982</v>
      </c>
      <c r="F641" s="62" t="str">
        <f t="shared" si="48"/>
        <v/>
      </c>
    </row>
    <row r="642" spans="1:6">
      <c r="A642" s="60">
        <v>63700</v>
      </c>
      <c r="B642" s="60">
        <f t="shared" si="46"/>
        <v>2523886</v>
      </c>
      <c r="C642" s="60">
        <f t="shared" si="49"/>
        <v>2523886</v>
      </c>
      <c r="D642" s="61">
        <f t="shared" si="45"/>
        <v>1</v>
      </c>
      <c r="E642" s="64">
        <f t="shared" si="47"/>
        <v>252.38858928247924</v>
      </c>
      <c r="F642" s="62" t="str">
        <f t="shared" si="48"/>
        <v/>
      </c>
    </row>
    <row r="643" spans="1:6">
      <c r="A643" s="60">
        <v>63800</v>
      </c>
      <c r="B643" s="60">
        <f t="shared" si="46"/>
        <v>2525866</v>
      </c>
      <c r="C643" s="60">
        <f t="shared" si="49"/>
        <v>2525866</v>
      </c>
      <c r="D643" s="61">
        <f t="shared" si="45"/>
        <v>1</v>
      </c>
      <c r="E643" s="64">
        <f t="shared" si="47"/>
        <v>252.58661880630177</v>
      </c>
      <c r="F643" s="62" t="str">
        <f t="shared" si="48"/>
        <v/>
      </c>
    </row>
    <row r="644" spans="1:6">
      <c r="A644" s="60">
        <v>63900</v>
      </c>
      <c r="B644" s="60">
        <f t="shared" si="46"/>
        <v>2527845</v>
      </c>
      <c r="C644" s="60">
        <f t="shared" si="49"/>
        <v>2527845</v>
      </c>
      <c r="D644" s="61">
        <f t="shared" si="45"/>
        <v>1</v>
      </c>
      <c r="E644" s="64">
        <f t="shared" si="47"/>
        <v>252.78449319529076</v>
      </c>
      <c r="F644" s="62" t="str">
        <f t="shared" si="48"/>
        <v/>
      </c>
    </row>
    <row r="645" spans="1:6">
      <c r="A645" s="60">
        <v>64000</v>
      </c>
      <c r="B645" s="60">
        <f t="shared" si="46"/>
        <v>2529822</v>
      </c>
      <c r="C645" s="60">
        <f t="shared" si="49"/>
        <v>2529822</v>
      </c>
      <c r="D645" s="61">
        <f t="shared" ref="D645:D708" si="50">(A645-INDEX(兵力区间,MATCH(A645,兵力区间,1)))/(INDEX(兵力区间,MATCH(A645,兵力区间,1)+1)-INDEX(兵力区间,MATCH(A645,兵力区间,1)))*((INDEX(兵力调节,MATCH(A645,兵力区间,1)+1,2)-INDEX(兵力调节,MATCH(A645,兵力区间,1),2)))+INDEX(兵力调节,MATCH(A645,兵力区间,1),2)</f>
        <v>1</v>
      </c>
      <c r="E645" s="64">
        <f t="shared" si="47"/>
        <v>252.98221281347034</v>
      </c>
      <c r="F645" s="62" t="str">
        <f t="shared" si="48"/>
        <v/>
      </c>
    </row>
    <row r="646" spans="1:6">
      <c r="A646" s="60">
        <v>64100</v>
      </c>
      <c r="B646" s="60">
        <f t="shared" si="46"/>
        <v>2531798</v>
      </c>
      <c r="C646" s="60">
        <f t="shared" si="49"/>
        <v>2531798</v>
      </c>
      <c r="D646" s="61">
        <f t="shared" si="50"/>
        <v>1</v>
      </c>
      <c r="E646" s="64">
        <f t="shared" si="47"/>
        <v>253.17977802344325</v>
      </c>
      <c r="F646" s="62" t="str">
        <f t="shared" si="48"/>
        <v/>
      </c>
    </row>
    <row r="647" spans="1:6">
      <c r="A647" s="60">
        <v>64200</v>
      </c>
      <c r="B647" s="60">
        <f t="shared" ref="B647:B710" si="51">ROUND(D647*E647*10000,0)</f>
        <v>2533772</v>
      </c>
      <c r="C647" s="60">
        <f t="shared" si="49"/>
        <v>2533772</v>
      </c>
      <c r="D647" s="61">
        <f t="shared" si="50"/>
        <v>1</v>
      </c>
      <c r="E647" s="64">
        <f t="shared" ref="E647:E710" si="52">A647^0.5</f>
        <v>253.37718918639854</v>
      </c>
      <c r="F647" s="62" t="str">
        <f t="shared" si="48"/>
        <v/>
      </c>
    </row>
    <row r="648" spans="1:6">
      <c r="A648" s="60">
        <v>64300</v>
      </c>
      <c r="B648" s="60">
        <f t="shared" si="51"/>
        <v>2535744</v>
      </c>
      <c r="C648" s="60">
        <f t="shared" si="49"/>
        <v>2535744</v>
      </c>
      <c r="D648" s="61">
        <f t="shared" si="50"/>
        <v>1</v>
      </c>
      <c r="E648" s="64">
        <f t="shared" si="52"/>
        <v>253.57444666211933</v>
      </c>
      <c r="F648" s="62" t="str">
        <f t="shared" ref="F648:F711" si="53">IF(B648&lt;B647,1,"")</f>
        <v/>
      </c>
    </row>
    <row r="649" spans="1:6">
      <c r="A649" s="60">
        <v>64400</v>
      </c>
      <c r="B649" s="60">
        <f t="shared" si="51"/>
        <v>2537716</v>
      </c>
      <c r="C649" s="60">
        <f t="shared" si="49"/>
        <v>2537716</v>
      </c>
      <c r="D649" s="61">
        <f t="shared" si="50"/>
        <v>1</v>
      </c>
      <c r="E649" s="64">
        <f t="shared" si="52"/>
        <v>253.77155080899041</v>
      </c>
      <c r="F649" s="62" t="str">
        <f t="shared" si="53"/>
        <v/>
      </c>
    </row>
    <row r="650" spans="1:6">
      <c r="A650" s="60">
        <v>64500</v>
      </c>
      <c r="B650" s="60">
        <f t="shared" si="51"/>
        <v>2539685</v>
      </c>
      <c r="C650" s="60">
        <f t="shared" si="49"/>
        <v>2539685</v>
      </c>
      <c r="D650" s="61">
        <f t="shared" si="50"/>
        <v>1</v>
      </c>
      <c r="E650" s="64">
        <f t="shared" si="52"/>
        <v>253.96850198400588</v>
      </c>
      <c r="F650" s="62" t="str">
        <f t="shared" si="53"/>
        <v/>
      </c>
    </row>
    <row r="651" spans="1:6">
      <c r="A651" s="60">
        <v>64600</v>
      </c>
      <c r="B651" s="60">
        <f t="shared" si="51"/>
        <v>2541653</v>
      </c>
      <c r="C651" s="60">
        <f t="shared" ref="C651:C714" si="54">ROUND(D651*E651*10000,0)</f>
        <v>2541653</v>
      </c>
      <c r="D651" s="61">
        <f t="shared" si="50"/>
        <v>1</v>
      </c>
      <c r="E651" s="64">
        <f t="shared" si="52"/>
        <v>254.16530054277669</v>
      </c>
      <c r="F651" s="62" t="str">
        <f t="shared" si="53"/>
        <v/>
      </c>
    </row>
    <row r="652" spans="1:6">
      <c r="A652" s="60">
        <v>64700</v>
      </c>
      <c r="B652" s="60">
        <f t="shared" si="51"/>
        <v>2543619</v>
      </c>
      <c r="C652" s="60">
        <f t="shared" si="54"/>
        <v>2543619</v>
      </c>
      <c r="D652" s="61">
        <f t="shared" si="50"/>
        <v>1</v>
      </c>
      <c r="E652" s="64">
        <f t="shared" si="52"/>
        <v>254.36194683953809</v>
      </c>
      <c r="F652" s="62" t="str">
        <f t="shared" si="53"/>
        <v/>
      </c>
    </row>
    <row r="653" spans="1:6">
      <c r="A653" s="60">
        <v>64800</v>
      </c>
      <c r="B653" s="60">
        <f t="shared" si="51"/>
        <v>2545584</v>
      </c>
      <c r="C653" s="60">
        <f t="shared" si="54"/>
        <v>2545584</v>
      </c>
      <c r="D653" s="61">
        <f t="shared" si="50"/>
        <v>1</v>
      </c>
      <c r="E653" s="64">
        <f t="shared" si="52"/>
        <v>254.55844122715712</v>
      </c>
      <c r="F653" s="62" t="str">
        <f t="shared" si="53"/>
        <v/>
      </c>
    </row>
    <row r="654" spans="1:6">
      <c r="A654" s="60">
        <v>64900</v>
      </c>
      <c r="B654" s="60">
        <f t="shared" si="51"/>
        <v>2547548</v>
      </c>
      <c r="C654" s="60">
        <f t="shared" si="54"/>
        <v>2547548</v>
      </c>
      <c r="D654" s="61">
        <f t="shared" si="50"/>
        <v>1</v>
      </c>
      <c r="E654" s="64">
        <f t="shared" si="52"/>
        <v>254.75478405713994</v>
      </c>
      <c r="F654" s="62" t="str">
        <f t="shared" si="53"/>
        <v/>
      </c>
    </row>
    <row r="655" spans="1:6">
      <c r="A655" s="60">
        <v>65000</v>
      </c>
      <c r="B655" s="60">
        <f t="shared" si="51"/>
        <v>2549510</v>
      </c>
      <c r="C655" s="60">
        <f t="shared" si="54"/>
        <v>2549510</v>
      </c>
      <c r="D655" s="61">
        <f t="shared" si="50"/>
        <v>1</v>
      </c>
      <c r="E655" s="64">
        <f t="shared" si="52"/>
        <v>254.95097567963924</v>
      </c>
      <c r="F655" s="62" t="str">
        <f t="shared" si="53"/>
        <v/>
      </c>
    </row>
    <row r="656" spans="1:6">
      <c r="A656" s="60">
        <v>65100</v>
      </c>
      <c r="B656" s="60">
        <f t="shared" si="51"/>
        <v>2551470</v>
      </c>
      <c r="C656" s="60">
        <f t="shared" si="54"/>
        <v>2551470</v>
      </c>
      <c r="D656" s="61">
        <f t="shared" si="50"/>
        <v>1</v>
      </c>
      <c r="E656" s="64">
        <f t="shared" si="52"/>
        <v>255.14701644346147</v>
      </c>
      <c r="F656" s="62" t="str">
        <f t="shared" si="53"/>
        <v/>
      </c>
    </row>
    <row r="657" spans="1:6">
      <c r="A657" s="60">
        <v>65200</v>
      </c>
      <c r="B657" s="60">
        <f t="shared" si="51"/>
        <v>2553429</v>
      </c>
      <c r="C657" s="60">
        <f t="shared" si="54"/>
        <v>2553429</v>
      </c>
      <c r="D657" s="61">
        <f t="shared" si="50"/>
        <v>1</v>
      </c>
      <c r="E657" s="64">
        <f t="shared" si="52"/>
        <v>255.3429066960741</v>
      </c>
      <c r="F657" s="62" t="str">
        <f t="shared" si="53"/>
        <v/>
      </c>
    </row>
    <row r="658" spans="1:6">
      <c r="A658" s="60">
        <v>65300</v>
      </c>
      <c r="B658" s="60">
        <f t="shared" si="51"/>
        <v>2555386</v>
      </c>
      <c r="C658" s="60">
        <f t="shared" si="54"/>
        <v>2555386</v>
      </c>
      <c r="D658" s="61">
        <f t="shared" si="50"/>
        <v>1</v>
      </c>
      <c r="E658" s="64">
        <f t="shared" si="52"/>
        <v>255.53864678361276</v>
      </c>
      <c r="F658" s="62" t="str">
        <f t="shared" si="53"/>
        <v/>
      </c>
    </row>
    <row r="659" spans="1:6">
      <c r="A659" s="60">
        <v>65400</v>
      </c>
      <c r="B659" s="60">
        <f t="shared" si="51"/>
        <v>2557342</v>
      </c>
      <c r="C659" s="60">
        <f t="shared" si="54"/>
        <v>2557342</v>
      </c>
      <c r="D659" s="61">
        <f t="shared" si="50"/>
        <v>1</v>
      </c>
      <c r="E659" s="64">
        <f t="shared" si="52"/>
        <v>255.73423705088842</v>
      </c>
      <c r="F659" s="62" t="str">
        <f t="shared" si="53"/>
        <v/>
      </c>
    </row>
    <row r="660" spans="1:6">
      <c r="A660" s="60">
        <v>65500</v>
      </c>
      <c r="B660" s="60">
        <f t="shared" si="51"/>
        <v>2559297</v>
      </c>
      <c r="C660" s="60">
        <f t="shared" si="54"/>
        <v>2559297</v>
      </c>
      <c r="D660" s="61">
        <f t="shared" si="50"/>
        <v>1</v>
      </c>
      <c r="E660" s="64">
        <f t="shared" si="52"/>
        <v>255.92967784139455</v>
      </c>
      <c r="F660" s="62" t="str">
        <f t="shared" si="53"/>
        <v/>
      </c>
    </row>
    <row r="661" spans="1:6">
      <c r="A661" s="60">
        <v>65600</v>
      </c>
      <c r="B661" s="60">
        <f t="shared" si="51"/>
        <v>2561250</v>
      </c>
      <c r="C661" s="60">
        <f t="shared" si="54"/>
        <v>2561250</v>
      </c>
      <c r="D661" s="61">
        <f t="shared" si="50"/>
        <v>1</v>
      </c>
      <c r="E661" s="64">
        <f t="shared" si="52"/>
        <v>256.12496949731394</v>
      </c>
      <c r="F661" s="62" t="str">
        <f t="shared" si="53"/>
        <v/>
      </c>
    </row>
    <row r="662" spans="1:6">
      <c r="A662" s="60">
        <v>65700</v>
      </c>
      <c r="B662" s="60">
        <f t="shared" si="51"/>
        <v>2563201</v>
      </c>
      <c r="C662" s="60">
        <f t="shared" si="54"/>
        <v>2563201</v>
      </c>
      <c r="D662" s="61">
        <f t="shared" si="50"/>
        <v>1</v>
      </c>
      <c r="E662" s="64">
        <f t="shared" si="52"/>
        <v>256.32011235952592</v>
      </c>
      <c r="F662" s="62" t="str">
        <f t="shared" si="53"/>
        <v/>
      </c>
    </row>
    <row r="663" spans="1:6">
      <c r="A663" s="60">
        <v>65800</v>
      </c>
      <c r="B663" s="60">
        <f t="shared" si="51"/>
        <v>2565151</v>
      </c>
      <c r="C663" s="60">
        <f t="shared" si="54"/>
        <v>2565151</v>
      </c>
      <c r="D663" s="61">
        <f t="shared" si="50"/>
        <v>1</v>
      </c>
      <c r="E663" s="64">
        <f t="shared" si="52"/>
        <v>256.51510676761319</v>
      </c>
      <c r="F663" s="62" t="str">
        <f t="shared" si="53"/>
        <v/>
      </c>
    </row>
    <row r="664" spans="1:6">
      <c r="A664" s="60">
        <v>65900</v>
      </c>
      <c r="B664" s="60">
        <f t="shared" si="51"/>
        <v>2567100</v>
      </c>
      <c r="C664" s="60">
        <f t="shared" si="54"/>
        <v>2567100</v>
      </c>
      <c r="D664" s="61">
        <f t="shared" si="50"/>
        <v>1</v>
      </c>
      <c r="E664" s="64">
        <f t="shared" si="52"/>
        <v>256.70995305986872</v>
      </c>
      <c r="F664" s="62" t="str">
        <f t="shared" si="53"/>
        <v/>
      </c>
    </row>
    <row r="665" spans="1:6">
      <c r="A665" s="60">
        <v>66000</v>
      </c>
      <c r="B665" s="60">
        <f t="shared" si="51"/>
        <v>2569047</v>
      </c>
      <c r="C665" s="60">
        <f t="shared" si="54"/>
        <v>2569047</v>
      </c>
      <c r="D665" s="61">
        <f t="shared" si="50"/>
        <v>1</v>
      </c>
      <c r="E665" s="64">
        <f t="shared" si="52"/>
        <v>256.9046515733026</v>
      </c>
      <c r="F665" s="62" t="str">
        <f t="shared" si="53"/>
        <v/>
      </c>
    </row>
    <row r="666" spans="1:6">
      <c r="A666" s="60">
        <v>66100</v>
      </c>
      <c r="B666" s="60">
        <f t="shared" si="51"/>
        <v>2570992</v>
      </c>
      <c r="C666" s="60">
        <f t="shared" si="54"/>
        <v>2570992</v>
      </c>
      <c r="D666" s="61">
        <f t="shared" si="50"/>
        <v>1</v>
      </c>
      <c r="E666" s="64">
        <f t="shared" si="52"/>
        <v>257.09920264364882</v>
      </c>
      <c r="F666" s="62" t="str">
        <f t="shared" si="53"/>
        <v/>
      </c>
    </row>
    <row r="667" spans="1:6">
      <c r="A667" s="60">
        <v>66200</v>
      </c>
      <c r="B667" s="60">
        <f t="shared" si="51"/>
        <v>2572936</v>
      </c>
      <c r="C667" s="60">
        <f t="shared" si="54"/>
        <v>2572936</v>
      </c>
      <c r="D667" s="61">
        <f t="shared" si="50"/>
        <v>1</v>
      </c>
      <c r="E667" s="64">
        <f t="shared" si="52"/>
        <v>257.29360660537213</v>
      </c>
      <c r="F667" s="62" t="str">
        <f t="shared" si="53"/>
        <v/>
      </c>
    </row>
    <row r="668" spans="1:6">
      <c r="A668" s="60">
        <v>66300</v>
      </c>
      <c r="B668" s="60">
        <f t="shared" si="51"/>
        <v>2574879</v>
      </c>
      <c r="C668" s="60">
        <f t="shared" si="54"/>
        <v>2574879</v>
      </c>
      <c r="D668" s="61">
        <f t="shared" si="50"/>
        <v>1</v>
      </c>
      <c r="E668" s="64">
        <f t="shared" si="52"/>
        <v>257.48786379167467</v>
      </c>
      <c r="F668" s="62" t="str">
        <f t="shared" si="53"/>
        <v/>
      </c>
    </row>
    <row r="669" spans="1:6">
      <c r="A669" s="60">
        <v>66400</v>
      </c>
      <c r="B669" s="60">
        <f t="shared" si="51"/>
        <v>2576820</v>
      </c>
      <c r="C669" s="60">
        <f t="shared" si="54"/>
        <v>2576820</v>
      </c>
      <c r="D669" s="61">
        <f t="shared" si="50"/>
        <v>1</v>
      </c>
      <c r="E669" s="64">
        <f t="shared" si="52"/>
        <v>257.6819745345025</v>
      </c>
      <c r="F669" s="62" t="str">
        <f t="shared" si="53"/>
        <v/>
      </c>
    </row>
    <row r="670" spans="1:6">
      <c r="A670" s="60">
        <v>66500</v>
      </c>
      <c r="B670" s="60">
        <f t="shared" si="51"/>
        <v>2578759</v>
      </c>
      <c r="C670" s="60">
        <f t="shared" si="54"/>
        <v>2578759</v>
      </c>
      <c r="D670" s="61">
        <f t="shared" si="50"/>
        <v>1</v>
      </c>
      <c r="E670" s="64">
        <f t="shared" si="52"/>
        <v>257.87593916455256</v>
      </c>
      <c r="F670" s="62" t="str">
        <f t="shared" si="53"/>
        <v/>
      </c>
    </row>
    <row r="671" spans="1:6">
      <c r="A671" s="60">
        <v>66600</v>
      </c>
      <c r="B671" s="60">
        <f t="shared" si="51"/>
        <v>2580698</v>
      </c>
      <c r="C671" s="60">
        <f t="shared" si="54"/>
        <v>2580698</v>
      </c>
      <c r="D671" s="61">
        <f t="shared" si="50"/>
        <v>1</v>
      </c>
      <c r="E671" s="64">
        <f t="shared" si="52"/>
        <v>258.06975801127879</v>
      </c>
      <c r="F671" s="62" t="str">
        <f t="shared" si="53"/>
        <v/>
      </c>
    </row>
    <row r="672" spans="1:6">
      <c r="A672" s="60">
        <v>66700</v>
      </c>
      <c r="B672" s="60">
        <f t="shared" si="51"/>
        <v>2582634</v>
      </c>
      <c r="C672" s="60">
        <f t="shared" si="54"/>
        <v>2582634</v>
      </c>
      <c r="D672" s="61">
        <f t="shared" si="50"/>
        <v>1</v>
      </c>
      <c r="E672" s="64">
        <f t="shared" si="52"/>
        <v>258.26343140289919</v>
      </c>
      <c r="F672" s="62" t="str">
        <f t="shared" si="53"/>
        <v/>
      </c>
    </row>
    <row r="673" spans="1:6">
      <c r="A673" s="60">
        <v>66800</v>
      </c>
      <c r="B673" s="60">
        <f t="shared" si="51"/>
        <v>2584570</v>
      </c>
      <c r="C673" s="60">
        <f t="shared" si="54"/>
        <v>2584570</v>
      </c>
      <c r="D673" s="61">
        <f t="shared" si="50"/>
        <v>1</v>
      </c>
      <c r="E673" s="64">
        <f t="shared" si="52"/>
        <v>258.4569596664017</v>
      </c>
      <c r="F673" s="62" t="str">
        <f t="shared" si="53"/>
        <v/>
      </c>
    </row>
    <row r="674" spans="1:6">
      <c r="A674" s="60">
        <v>66900</v>
      </c>
      <c r="B674" s="60">
        <f t="shared" si="51"/>
        <v>2586503</v>
      </c>
      <c r="C674" s="60">
        <f t="shared" si="54"/>
        <v>2586503</v>
      </c>
      <c r="D674" s="61">
        <f t="shared" si="50"/>
        <v>1</v>
      </c>
      <c r="E674" s="64">
        <f t="shared" si="52"/>
        <v>258.65034312755125</v>
      </c>
      <c r="F674" s="62" t="str">
        <f t="shared" si="53"/>
        <v/>
      </c>
    </row>
    <row r="675" spans="1:6">
      <c r="A675" s="60">
        <v>67000</v>
      </c>
      <c r="B675" s="60">
        <f t="shared" si="51"/>
        <v>2588436</v>
      </c>
      <c r="C675" s="60">
        <f t="shared" si="54"/>
        <v>2588436</v>
      </c>
      <c r="D675" s="61">
        <f t="shared" si="50"/>
        <v>1</v>
      </c>
      <c r="E675" s="64">
        <f t="shared" si="52"/>
        <v>258.84358211089568</v>
      </c>
      <c r="F675" s="62" t="str">
        <f t="shared" si="53"/>
        <v/>
      </c>
    </row>
    <row r="676" spans="1:6">
      <c r="A676" s="60">
        <v>67100</v>
      </c>
      <c r="B676" s="60">
        <f t="shared" si="51"/>
        <v>2590367</v>
      </c>
      <c r="C676" s="60">
        <f t="shared" si="54"/>
        <v>2590367</v>
      </c>
      <c r="D676" s="61">
        <f t="shared" si="50"/>
        <v>1</v>
      </c>
      <c r="E676" s="64">
        <f t="shared" si="52"/>
        <v>259.03667693977235</v>
      </c>
      <c r="F676" s="62" t="str">
        <f t="shared" si="53"/>
        <v/>
      </c>
    </row>
    <row r="677" spans="1:6">
      <c r="A677" s="60">
        <v>67200</v>
      </c>
      <c r="B677" s="60">
        <f t="shared" si="51"/>
        <v>2592296</v>
      </c>
      <c r="C677" s="60">
        <f t="shared" si="54"/>
        <v>2592296</v>
      </c>
      <c r="D677" s="61">
        <f t="shared" si="50"/>
        <v>1</v>
      </c>
      <c r="E677" s="64">
        <f t="shared" si="52"/>
        <v>259.22962793631439</v>
      </c>
      <c r="F677" s="62" t="str">
        <f t="shared" si="53"/>
        <v/>
      </c>
    </row>
    <row r="678" spans="1:6">
      <c r="A678" s="60">
        <v>67300</v>
      </c>
      <c r="B678" s="60">
        <f t="shared" si="51"/>
        <v>2594224</v>
      </c>
      <c r="C678" s="60">
        <f t="shared" si="54"/>
        <v>2594224</v>
      </c>
      <c r="D678" s="61">
        <f t="shared" si="50"/>
        <v>1</v>
      </c>
      <c r="E678" s="64">
        <f t="shared" si="52"/>
        <v>259.42243542145695</v>
      </c>
      <c r="F678" s="62" t="str">
        <f t="shared" si="53"/>
        <v/>
      </c>
    </row>
    <row r="679" spans="1:6">
      <c r="A679" s="60">
        <v>67400</v>
      </c>
      <c r="B679" s="60">
        <f t="shared" si="51"/>
        <v>2596151</v>
      </c>
      <c r="C679" s="60">
        <f t="shared" si="54"/>
        <v>2596151</v>
      </c>
      <c r="D679" s="61">
        <f t="shared" si="50"/>
        <v>1</v>
      </c>
      <c r="E679" s="64">
        <f t="shared" si="52"/>
        <v>259.61509971494337</v>
      </c>
      <c r="F679" s="62" t="str">
        <f t="shared" si="53"/>
        <v/>
      </c>
    </row>
    <row r="680" spans="1:6">
      <c r="A680" s="60">
        <v>67500</v>
      </c>
      <c r="B680" s="60">
        <f t="shared" si="51"/>
        <v>2598076</v>
      </c>
      <c r="C680" s="60">
        <f t="shared" si="54"/>
        <v>2598076</v>
      </c>
      <c r="D680" s="61">
        <f t="shared" si="50"/>
        <v>1</v>
      </c>
      <c r="E680" s="64">
        <f t="shared" si="52"/>
        <v>259.8076211353316</v>
      </c>
      <c r="F680" s="62" t="str">
        <f t="shared" si="53"/>
        <v/>
      </c>
    </row>
    <row r="681" spans="1:6">
      <c r="A681" s="60">
        <v>67600</v>
      </c>
      <c r="B681" s="60">
        <f t="shared" si="51"/>
        <v>2600000</v>
      </c>
      <c r="C681" s="60">
        <f t="shared" si="54"/>
        <v>2600000</v>
      </c>
      <c r="D681" s="61">
        <f t="shared" si="50"/>
        <v>1</v>
      </c>
      <c r="E681" s="64">
        <f t="shared" si="52"/>
        <v>260</v>
      </c>
      <c r="F681" s="62" t="str">
        <f t="shared" si="53"/>
        <v/>
      </c>
    </row>
    <row r="682" spans="1:6">
      <c r="A682" s="60">
        <v>67700</v>
      </c>
      <c r="B682" s="60">
        <f t="shared" si="51"/>
        <v>2601922</v>
      </c>
      <c r="C682" s="60">
        <f t="shared" si="54"/>
        <v>2601922</v>
      </c>
      <c r="D682" s="61">
        <f t="shared" si="50"/>
        <v>1</v>
      </c>
      <c r="E682" s="64">
        <f t="shared" si="52"/>
        <v>260.19223662515373</v>
      </c>
      <c r="F682" s="62" t="str">
        <f t="shared" si="53"/>
        <v/>
      </c>
    </row>
    <row r="683" spans="1:6">
      <c r="A683" s="60">
        <v>67800</v>
      </c>
      <c r="B683" s="60">
        <f t="shared" si="51"/>
        <v>2603843</v>
      </c>
      <c r="C683" s="60">
        <f t="shared" si="54"/>
        <v>2603843</v>
      </c>
      <c r="D683" s="61">
        <f t="shared" si="50"/>
        <v>1</v>
      </c>
      <c r="E683" s="64">
        <f t="shared" si="52"/>
        <v>260.38433132583071</v>
      </c>
      <c r="F683" s="62" t="str">
        <f t="shared" si="53"/>
        <v/>
      </c>
    </row>
    <row r="684" spans="1:6">
      <c r="A684" s="60">
        <v>67900</v>
      </c>
      <c r="B684" s="60">
        <f t="shared" si="51"/>
        <v>2605763</v>
      </c>
      <c r="C684" s="60">
        <f t="shared" si="54"/>
        <v>2605763</v>
      </c>
      <c r="D684" s="61">
        <f t="shared" si="50"/>
        <v>1</v>
      </c>
      <c r="E684" s="64">
        <f t="shared" si="52"/>
        <v>260.57628441590765</v>
      </c>
      <c r="F684" s="62" t="str">
        <f t="shared" si="53"/>
        <v/>
      </c>
    </row>
    <row r="685" spans="1:6">
      <c r="A685" s="60">
        <v>68000</v>
      </c>
      <c r="B685" s="60">
        <f t="shared" si="51"/>
        <v>2607681</v>
      </c>
      <c r="C685" s="60">
        <f t="shared" si="54"/>
        <v>2607681</v>
      </c>
      <c r="D685" s="61">
        <f t="shared" si="50"/>
        <v>1</v>
      </c>
      <c r="E685" s="64">
        <f t="shared" si="52"/>
        <v>260.76809620810593</v>
      </c>
      <c r="F685" s="62" t="str">
        <f t="shared" si="53"/>
        <v/>
      </c>
    </row>
    <row r="686" spans="1:6">
      <c r="A686" s="60">
        <v>68100</v>
      </c>
      <c r="B686" s="60">
        <f t="shared" si="51"/>
        <v>2609598</v>
      </c>
      <c r="C686" s="60">
        <f t="shared" si="54"/>
        <v>2609598</v>
      </c>
      <c r="D686" s="61">
        <f t="shared" si="50"/>
        <v>1</v>
      </c>
      <c r="E686" s="64">
        <f t="shared" si="52"/>
        <v>260.95976701399775</v>
      </c>
      <c r="F686" s="62" t="str">
        <f t="shared" si="53"/>
        <v/>
      </c>
    </row>
    <row r="687" spans="1:6">
      <c r="A687" s="60">
        <v>68200</v>
      </c>
      <c r="B687" s="60">
        <f t="shared" si="51"/>
        <v>2611513</v>
      </c>
      <c r="C687" s="60">
        <f t="shared" si="54"/>
        <v>2611513</v>
      </c>
      <c r="D687" s="61">
        <f t="shared" si="50"/>
        <v>1</v>
      </c>
      <c r="E687" s="64">
        <f t="shared" si="52"/>
        <v>261.15129714401189</v>
      </c>
      <c r="F687" s="62" t="str">
        <f t="shared" si="53"/>
        <v/>
      </c>
    </row>
    <row r="688" spans="1:6">
      <c r="A688" s="60">
        <v>68300</v>
      </c>
      <c r="B688" s="60">
        <f t="shared" si="51"/>
        <v>2613427</v>
      </c>
      <c r="C688" s="60">
        <f t="shared" si="54"/>
        <v>2613427</v>
      </c>
      <c r="D688" s="61">
        <f t="shared" si="50"/>
        <v>1</v>
      </c>
      <c r="E688" s="64">
        <f t="shared" si="52"/>
        <v>261.3426869074396</v>
      </c>
      <c r="F688" s="62" t="str">
        <f t="shared" si="53"/>
        <v/>
      </c>
    </row>
    <row r="689" spans="1:6">
      <c r="A689" s="60">
        <v>68400</v>
      </c>
      <c r="B689" s="60">
        <f t="shared" si="51"/>
        <v>2615339</v>
      </c>
      <c r="C689" s="60">
        <f t="shared" si="54"/>
        <v>2615339</v>
      </c>
      <c r="D689" s="61">
        <f t="shared" si="50"/>
        <v>1</v>
      </c>
      <c r="E689" s="64">
        <f t="shared" si="52"/>
        <v>261.53393661244041</v>
      </c>
      <c r="F689" s="62" t="str">
        <f t="shared" si="53"/>
        <v/>
      </c>
    </row>
    <row r="690" spans="1:6">
      <c r="A690" s="60">
        <v>68500</v>
      </c>
      <c r="B690" s="60">
        <f t="shared" si="51"/>
        <v>2617250</v>
      </c>
      <c r="C690" s="60">
        <f t="shared" si="54"/>
        <v>2617250</v>
      </c>
      <c r="D690" s="61">
        <f t="shared" si="50"/>
        <v>1</v>
      </c>
      <c r="E690" s="64">
        <f t="shared" si="52"/>
        <v>261.72504656604804</v>
      </c>
      <c r="F690" s="62" t="str">
        <f t="shared" si="53"/>
        <v/>
      </c>
    </row>
    <row r="691" spans="1:6">
      <c r="A691" s="60">
        <v>68600</v>
      </c>
      <c r="B691" s="60">
        <f t="shared" si="51"/>
        <v>2619160</v>
      </c>
      <c r="C691" s="60">
        <f t="shared" si="54"/>
        <v>2619160</v>
      </c>
      <c r="D691" s="61">
        <f t="shared" si="50"/>
        <v>1</v>
      </c>
      <c r="E691" s="64">
        <f t="shared" si="52"/>
        <v>261.9160170741759</v>
      </c>
      <c r="F691" s="62" t="str">
        <f t="shared" si="53"/>
        <v/>
      </c>
    </row>
    <row r="692" spans="1:6">
      <c r="A692" s="60">
        <v>68700</v>
      </c>
      <c r="B692" s="60">
        <f t="shared" si="51"/>
        <v>2621068</v>
      </c>
      <c r="C692" s="60">
        <f t="shared" si="54"/>
        <v>2621068</v>
      </c>
      <c r="D692" s="61">
        <f t="shared" si="50"/>
        <v>1</v>
      </c>
      <c r="E692" s="64">
        <f t="shared" si="52"/>
        <v>262.10684844162313</v>
      </c>
      <c r="F692" s="62" t="str">
        <f t="shared" si="53"/>
        <v/>
      </c>
    </row>
    <row r="693" spans="1:6">
      <c r="A693" s="60">
        <v>68800</v>
      </c>
      <c r="B693" s="60">
        <f t="shared" si="51"/>
        <v>2622975</v>
      </c>
      <c r="C693" s="60">
        <f t="shared" si="54"/>
        <v>2622975</v>
      </c>
      <c r="D693" s="61">
        <f t="shared" si="50"/>
        <v>1</v>
      </c>
      <c r="E693" s="64">
        <f t="shared" si="52"/>
        <v>262.29754097208001</v>
      </c>
      <c r="F693" s="62" t="str">
        <f t="shared" si="53"/>
        <v/>
      </c>
    </row>
    <row r="694" spans="1:6">
      <c r="A694" s="60">
        <v>68900</v>
      </c>
      <c r="B694" s="60">
        <f t="shared" si="51"/>
        <v>2624881</v>
      </c>
      <c r="C694" s="60">
        <f t="shared" si="54"/>
        <v>2624881</v>
      </c>
      <c r="D694" s="61">
        <f t="shared" si="50"/>
        <v>1</v>
      </c>
      <c r="E694" s="64">
        <f t="shared" si="52"/>
        <v>262.48809496813374</v>
      </c>
      <c r="F694" s="62" t="str">
        <f t="shared" si="53"/>
        <v/>
      </c>
    </row>
    <row r="695" spans="1:6">
      <c r="A695" s="60">
        <v>69000</v>
      </c>
      <c r="B695" s="60">
        <f t="shared" si="51"/>
        <v>2626785</v>
      </c>
      <c r="C695" s="60">
        <f t="shared" si="54"/>
        <v>2626785</v>
      </c>
      <c r="D695" s="61">
        <f t="shared" si="50"/>
        <v>1</v>
      </c>
      <c r="E695" s="64">
        <f t="shared" si="52"/>
        <v>262.67851073127395</v>
      </c>
      <c r="F695" s="62" t="str">
        <f t="shared" si="53"/>
        <v/>
      </c>
    </row>
    <row r="696" spans="1:6">
      <c r="A696" s="60">
        <v>69100</v>
      </c>
      <c r="B696" s="60">
        <f t="shared" si="51"/>
        <v>2628688</v>
      </c>
      <c r="C696" s="60">
        <f t="shared" si="54"/>
        <v>2628688</v>
      </c>
      <c r="D696" s="61">
        <f t="shared" si="50"/>
        <v>1</v>
      </c>
      <c r="E696" s="64">
        <f t="shared" si="52"/>
        <v>262.86878856189833</v>
      </c>
      <c r="F696" s="62" t="str">
        <f t="shared" si="53"/>
        <v/>
      </c>
    </row>
    <row r="697" spans="1:6">
      <c r="A697" s="60">
        <v>69200</v>
      </c>
      <c r="B697" s="60">
        <f t="shared" si="51"/>
        <v>2630589</v>
      </c>
      <c r="C697" s="60">
        <f t="shared" si="54"/>
        <v>2630589</v>
      </c>
      <c r="D697" s="61">
        <f t="shared" si="50"/>
        <v>1</v>
      </c>
      <c r="E697" s="64">
        <f t="shared" si="52"/>
        <v>263.05892875931812</v>
      </c>
      <c r="F697" s="62" t="str">
        <f t="shared" si="53"/>
        <v/>
      </c>
    </row>
    <row r="698" spans="1:6">
      <c r="A698" s="60">
        <v>69300</v>
      </c>
      <c r="B698" s="60">
        <f t="shared" si="51"/>
        <v>2632489</v>
      </c>
      <c r="C698" s="60">
        <f t="shared" si="54"/>
        <v>2632489</v>
      </c>
      <c r="D698" s="61">
        <f t="shared" si="50"/>
        <v>1</v>
      </c>
      <c r="E698" s="64">
        <f t="shared" si="52"/>
        <v>263.24893162176369</v>
      </c>
      <c r="F698" s="62" t="str">
        <f t="shared" si="53"/>
        <v/>
      </c>
    </row>
    <row r="699" spans="1:6">
      <c r="A699" s="60">
        <v>69400</v>
      </c>
      <c r="B699" s="60">
        <f t="shared" si="51"/>
        <v>2634388</v>
      </c>
      <c r="C699" s="60">
        <f t="shared" si="54"/>
        <v>2634388</v>
      </c>
      <c r="D699" s="61">
        <f t="shared" si="50"/>
        <v>1</v>
      </c>
      <c r="E699" s="64">
        <f t="shared" si="52"/>
        <v>263.4387974463898</v>
      </c>
      <c r="F699" s="62" t="str">
        <f t="shared" si="53"/>
        <v/>
      </c>
    </row>
    <row r="700" spans="1:6">
      <c r="A700" s="60">
        <v>69500</v>
      </c>
      <c r="B700" s="60">
        <f t="shared" si="51"/>
        <v>2636285</v>
      </c>
      <c r="C700" s="60">
        <f t="shared" si="54"/>
        <v>2636285</v>
      </c>
      <c r="D700" s="61">
        <f t="shared" si="50"/>
        <v>1</v>
      </c>
      <c r="E700" s="64">
        <f t="shared" si="52"/>
        <v>263.62852652928137</v>
      </c>
      <c r="F700" s="62" t="str">
        <f t="shared" si="53"/>
        <v/>
      </c>
    </row>
    <row r="701" spans="1:6">
      <c r="A701" s="60">
        <v>69600</v>
      </c>
      <c r="B701" s="60">
        <f t="shared" si="51"/>
        <v>2638181</v>
      </c>
      <c r="C701" s="60">
        <f t="shared" si="54"/>
        <v>2638181</v>
      </c>
      <c r="D701" s="61">
        <f t="shared" si="50"/>
        <v>1</v>
      </c>
      <c r="E701" s="64">
        <f t="shared" si="52"/>
        <v>263.81811916545837</v>
      </c>
      <c r="F701" s="62" t="str">
        <f t="shared" si="53"/>
        <v/>
      </c>
    </row>
    <row r="702" spans="1:6">
      <c r="A702" s="60">
        <v>69700</v>
      </c>
      <c r="B702" s="60">
        <f t="shared" si="51"/>
        <v>2640076</v>
      </c>
      <c r="C702" s="60">
        <f t="shared" si="54"/>
        <v>2640076</v>
      </c>
      <c r="D702" s="61">
        <f t="shared" si="50"/>
        <v>1</v>
      </c>
      <c r="E702" s="64">
        <f t="shared" si="52"/>
        <v>264.0075756488817</v>
      </c>
      <c r="F702" s="62" t="str">
        <f t="shared" si="53"/>
        <v/>
      </c>
    </row>
    <row r="703" spans="1:6">
      <c r="A703" s="60">
        <v>69800</v>
      </c>
      <c r="B703" s="60">
        <f t="shared" si="51"/>
        <v>2641969</v>
      </c>
      <c r="C703" s="60">
        <f t="shared" si="54"/>
        <v>2641969</v>
      </c>
      <c r="D703" s="61">
        <f t="shared" si="50"/>
        <v>1</v>
      </c>
      <c r="E703" s="64">
        <f t="shared" si="52"/>
        <v>264.1968962724581</v>
      </c>
      <c r="F703" s="62" t="str">
        <f t="shared" si="53"/>
        <v/>
      </c>
    </row>
    <row r="704" spans="1:6">
      <c r="A704" s="60">
        <v>69900</v>
      </c>
      <c r="B704" s="60">
        <f t="shared" si="51"/>
        <v>2643861</v>
      </c>
      <c r="C704" s="60">
        <f t="shared" si="54"/>
        <v>2643861</v>
      </c>
      <c r="D704" s="61">
        <f t="shared" si="50"/>
        <v>1</v>
      </c>
      <c r="E704" s="64">
        <f t="shared" si="52"/>
        <v>264.38608132804569</v>
      </c>
      <c r="F704" s="62" t="str">
        <f t="shared" si="53"/>
        <v/>
      </c>
    </row>
    <row r="705" spans="1:6">
      <c r="A705" s="60">
        <v>70000</v>
      </c>
      <c r="B705" s="60">
        <f t="shared" si="51"/>
        <v>2645751</v>
      </c>
      <c r="C705" s="60">
        <f t="shared" si="54"/>
        <v>2645751</v>
      </c>
      <c r="D705" s="61">
        <f t="shared" si="50"/>
        <v>1</v>
      </c>
      <c r="E705" s="64">
        <f t="shared" si="52"/>
        <v>264.57513110645908</v>
      </c>
      <c r="F705" s="62" t="str">
        <f t="shared" si="53"/>
        <v/>
      </c>
    </row>
    <row r="706" spans="1:6">
      <c r="A706" s="60">
        <v>70100</v>
      </c>
      <c r="B706" s="60">
        <f t="shared" si="51"/>
        <v>2647640</v>
      </c>
      <c r="C706" s="60">
        <f t="shared" si="54"/>
        <v>2647640</v>
      </c>
      <c r="D706" s="61">
        <f t="shared" si="50"/>
        <v>1</v>
      </c>
      <c r="E706" s="64">
        <f t="shared" si="52"/>
        <v>264.76404589747455</v>
      </c>
      <c r="F706" s="62" t="str">
        <f t="shared" si="53"/>
        <v/>
      </c>
    </row>
    <row r="707" spans="1:6">
      <c r="A707" s="60">
        <v>70200</v>
      </c>
      <c r="B707" s="60">
        <f t="shared" si="51"/>
        <v>2649528</v>
      </c>
      <c r="C707" s="60">
        <f t="shared" si="54"/>
        <v>2649528</v>
      </c>
      <c r="D707" s="61">
        <f t="shared" si="50"/>
        <v>1</v>
      </c>
      <c r="E707" s="64">
        <f t="shared" si="52"/>
        <v>264.95282598983539</v>
      </c>
      <c r="F707" s="62" t="str">
        <f t="shared" si="53"/>
        <v/>
      </c>
    </row>
    <row r="708" spans="1:6">
      <c r="A708" s="60">
        <v>70300</v>
      </c>
      <c r="B708" s="60">
        <f t="shared" si="51"/>
        <v>2651415</v>
      </c>
      <c r="C708" s="60">
        <f t="shared" si="54"/>
        <v>2651415</v>
      </c>
      <c r="D708" s="61">
        <f t="shared" si="50"/>
        <v>1</v>
      </c>
      <c r="E708" s="64">
        <f t="shared" si="52"/>
        <v>265.14147167125702</v>
      </c>
      <c r="F708" s="62" t="str">
        <f t="shared" si="53"/>
        <v/>
      </c>
    </row>
    <row r="709" spans="1:6">
      <c r="A709" s="60">
        <v>70400</v>
      </c>
      <c r="B709" s="60">
        <f t="shared" si="51"/>
        <v>2653300</v>
      </c>
      <c r="C709" s="60">
        <f t="shared" si="54"/>
        <v>2653300</v>
      </c>
      <c r="D709" s="61">
        <f t="shared" ref="D709:D772" si="55">(A709-INDEX(兵力区间,MATCH(A709,兵力区间,1)))/(INDEX(兵力区间,MATCH(A709,兵力区间,1)+1)-INDEX(兵力区间,MATCH(A709,兵力区间,1)))*((INDEX(兵力调节,MATCH(A709,兵力区间,1)+1,2)-INDEX(兵力调节,MATCH(A709,兵力区间,1),2)))+INDEX(兵力调节,MATCH(A709,兵力区间,1),2)</f>
        <v>1</v>
      </c>
      <c r="E709" s="64">
        <f t="shared" si="52"/>
        <v>265.32998322843201</v>
      </c>
      <c r="F709" s="62" t="str">
        <f t="shared" si="53"/>
        <v/>
      </c>
    </row>
    <row r="710" spans="1:6">
      <c r="A710" s="60">
        <v>70500</v>
      </c>
      <c r="B710" s="60">
        <f t="shared" si="51"/>
        <v>2655184</v>
      </c>
      <c r="C710" s="60">
        <f t="shared" si="54"/>
        <v>2655184</v>
      </c>
      <c r="D710" s="61">
        <f t="shared" si="55"/>
        <v>1</v>
      </c>
      <c r="E710" s="64">
        <f t="shared" si="52"/>
        <v>265.51836094703509</v>
      </c>
      <c r="F710" s="62" t="str">
        <f t="shared" si="53"/>
        <v/>
      </c>
    </row>
    <row r="711" spans="1:6">
      <c r="A711" s="60">
        <v>70600</v>
      </c>
      <c r="B711" s="60">
        <f t="shared" ref="B711:B774" si="56">ROUND(D711*E711*10000,0)</f>
        <v>2657066</v>
      </c>
      <c r="C711" s="60">
        <f t="shared" si="54"/>
        <v>2657066</v>
      </c>
      <c r="D711" s="61">
        <f t="shared" si="55"/>
        <v>1</v>
      </c>
      <c r="E711" s="64">
        <f t="shared" ref="E711:E774" si="57">A711^0.5</f>
        <v>265.70660511172844</v>
      </c>
      <c r="F711" s="62" t="str">
        <f t="shared" si="53"/>
        <v/>
      </c>
    </row>
    <row r="712" spans="1:6">
      <c r="A712" s="60">
        <v>70700</v>
      </c>
      <c r="B712" s="60">
        <f t="shared" si="56"/>
        <v>2658947</v>
      </c>
      <c r="C712" s="60">
        <f t="shared" si="54"/>
        <v>2658947</v>
      </c>
      <c r="D712" s="61">
        <f t="shared" si="55"/>
        <v>1</v>
      </c>
      <c r="E712" s="64">
        <f t="shared" si="57"/>
        <v>265.89471600616662</v>
      </c>
      <c r="F712" s="62" t="str">
        <f t="shared" ref="F712:F775" si="58">IF(B712&lt;B711,1,"")</f>
        <v/>
      </c>
    </row>
    <row r="713" spans="1:6">
      <c r="A713" s="60">
        <v>70800</v>
      </c>
      <c r="B713" s="60">
        <f t="shared" si="56"/>
        <v>2660827</v>
      </c>
      <c r="C713" s="60">
        <f t="shared" si="54"/>
        <v>2660827</v>
      </c>
      <c r="D713" s="61">
        <f t="shared" si="55"/>
        <v>1</v>
      </c>
      <c r="E713" s="64">
        <f t="shared" si="57"/>
        <v>266.08269391300144</v>
      </c>
      <c r="F713" s="62" t="str">
        <f t="shared" si="58"/>
        <v/>
      </c>
    </row>
    <row r="714" spans="1:6">
      <c r="A714" s="60">
        <v>70900</v>
      </c>
      <c r="B714" s="60">
        <f t="shared" si="56"/>
        <v>2662705</v>
      </c>
      <c r="C714" s="60">
        <f t="shared" si="54"/>
        <v>2662705</v>
      </c>
      <c r="D714" s="61">
        <f t="shared" si="55"/>
        <v>1</v>
      </c>
      <c r="E714" s="64">
        <f t="shared" si="57"/>
        <v>266.27053911388697</v>
      </c>
      <c r="F714" s="62" t="str">
        <f t="shared" si="58"/>
        <v/>
      </c>
    </row>
    <row r="715" spans="1:6">
      <c r="A715" s="60">
        <v>71000</v>
      </c>
      <c r="B715" s="60">
        <f t="shared" si="56"/>
        <v>2664583</v>
      </c>
      <c r="C715" s="60">
        <f t="shared" ref="C715:C778" si="59">ROUND(D715*E715*10000,0)</f>
        <v>2664583</v>
      </c>
      <c r="D715" s="61">
        <f t="shared" si="55"/>
        <v>1</v>
      </c>
      <c r="E715" s="64">
        <f t="shared" si="57"/>
        <v>266.45825188948453</v>
      </c>
      <c r="F715" s="62" t="str">
        <f t="shared" si="58"/>
        <v/>
      </c>
    </row>
    <row r="716" spans="1:6">
      <c r="A716" s="60">
        <v>71100</v>
      </c>
      <c r="B716" s="60">
        <f t="shared" si="56"/>
        <v>2666458</v>
      </c>
      <c r="C716" s="60">
        <f t="shared" si="59"/>
        <v>2666458</v>
      </c>
      <c r="D716" s="61">
        <f t="shared" si="55"/>
        <v>1</v>
      </c>
      <c r="E716" s="64">
        <f t="shared" si="57"/>
        <v>266.64583251946766</v>
      </c>
      <c r="F716" s="62" t="str">
        <f t="shared" si="58"/>
        <v/>
      </c>
    </row>
    <row r="717" spans="1:6">
      <c r="A717" s="60">
        <v>71200</v>
      </c>
      <c r="B717" s="60">
        <f t="shared" si="56"/>
        <v>2668333</v>
      </c>
      <c r="C717" s="60">
        <f t="shared" si="59"/>
        <v>2668333</v>
      </c>
      <c r="D717" s="61">
        <f t="shared" si="55"/>
        <v>1</v>
      </c>
      <c r="E717" s="64">
        <f t="shared" si="57"/>
        <v>266.83328128252668</v>
      </c>
      <c r="F717" s="62" t="str">
        <f t="shared" si="58"/>
        <v/>
      </c>
    </row>
    <row r="718" spans="1:6">
      <c r="A718" s="60">
        <v>71300</v>
      </c>
      <c r="B718" s="60">
        <f t="shared" si="56"/>
        <v>2670206</v>
      </c>
      <c r="C718" s="60">
        <f t="shared" si="59"/>
        <v>2670206</v>
      </c>
      <c r="D718" s="61">
        <f t="shared" si="55"/>
        <v>1</v>
      </c>
      <c r="E718" s="64">
        <f t="shared" si="57"/>
        <v>267.02059845637376</v>
      </c>
      <c r="F718" s="62" t="str">
        <f t="shared" si="58"/>
        <v/>
      </c>
    </row>
    <row r="719" spans="1:6">
      <c r="A719" s="60">
        <v>71400</v>
      </c>
      <c r="B719" s="60">
        <f t="shared" si="56"/>
        <v>2672078</v>
      </c>
      <c r="C719" s="60">
        <f t="shared" si="59"/>
        <v>2672078</v>
      </c>
      <c r="D719" s="61">
        <f t="shared" si="55"/>
        <v>1</v>
      </c>
      <c r="E719" s="64">
        <f t="shared" si="57"/>
        <v>267.20778431774772</v>
      </c>
      <c r="F719" s="62" t="str">
        <f t="shared" si="58"/>
        <v/>
      </c>
    </row>
    <row r="720" spans="1:6">
      <c r="A720" s="60">
        <v>71500</v>
      </c>
      <c r="B720" s="60">
        <f t="shared" si="56"/>
        <v>2673948</v>
      </c>
      <c r="C720" s="60">
        <f t="shared" si="59"/>
        <v>2673948</v>
      </c>
      <c r="D720" s="61">
        <f t="shared" si="55"/>
        <v>1</v>
      </c>
      <c r="E720" s="64">
        <f t="shared" si="57"/>
        <v>267.39483914241873</v>
      </c>
      <c r="F720" s="62" t="str">
        <f t="shared" si="58"/>
        <v/>
      </c>
    </row>
    <row r="721" spans="1:6">
      <c r="A721" s="60">
        <v>71600</v>
      </c>
      <c r="B721" s="60">
        <f t="shared" si="56"/>
        <v>2675818</v>
      </c>
      <c r="C721" s="60">
        <f t="shared" si="59"/>
        <v>2675818</v>
      </c>
      <c r="D721" s="61">
        <f t="shared" si="55"/>
        <v>1</v>
      </c>
      <c r="E721" s="64">
        <f t="shared" si="57"/>
        <v>267.58176320519306</v>
      </c>
      <c r="F721" s="62" t="str">
        <f t="shared" si="58"/>
        <v/>
      </c>
    </row>
    <row r="722" spans="1:6">
      <c r="A722" s="60">
        <v>71700</v>
      </c>
      <c r="B722" s="60">
        <f t="shared" si="56"/>
        <v>2677686</v>
      </c>
      <c r="C722" s="60">
        <f t="shared" si="59"/>
        <v>2677686</v>
      </c>
      <c r="D722" s="61">
        <f t="shared" si="55"/>
        <v>1</v>
      </c>
      <c r="E722" s="64">
        <f t="shared" si="57"/>
        <v>267.76855677991767</v>
      </c>
      <c r="F722" s="62" t="str">
        <f t="shared" si="58"/>
        <v/>
      </c>
    </row>
    <row r="723" spans="1:6">
      <c r="A723" s="60">
        <v>71800</v>
      </c>
      <c r="B723" s="60">
        <f t="shared" si="56"/>
        <v>2679552</v>
      </c>
      <c r="C723" s="60">
        <f t="shared" si="59"/>
        <v>2679552</v>
      </c>
      <c r="D723" s="61">
        <f t="shared" si="55"/>
        <v>1</v>
      </c>
      <c r="E723" s="64">
        <f t="shared" si="57"/>
        <v>267.95522013948522</v>
      </c>
      <c r="F723" s="62" t="str">
        <f t="shared" si="58"/>
        <v/>
      </c>
    </row>
    <row r="724" spans="1:6">
      <c r="A724" s="60">
        <v>71900</v>
      </c>
      <c r="B724" s="60">
        <f t="shared" si="56"/>
        <v>2681418</v>
      </c>
      <c r="C724" s="60">
        <f t="shared" si="59"/>
        <v>2681418</v>
      </c>
      <c r="D724" s="61">
        <f t="shared" si="55"/>
        <v>1</v>
      </c>
      <c r="E724" s="64">
        <f t="shared" si="57"/>
        <v>268.14175355583842</v>
      </c>
      <c r="F724" s="62" t="str">
        <f t="shared" si="58"/>
        <v/>
      </c>
    </row>
    <row r="725" spans="1:6">
      <c r="A725" s="60">
        <v>72000</v>
      </c>
      <c r="B725" s="60">
        <f t="shared" si="56"/>
        <v>2683282</v>
      </c>
      <c r="C725" s="60">
        <f t="shared" si="59"/>
        <v>2683282</v>
      </c>
      <c r="D725" s="61">
        <f t="shared" si="55"/>
        <v>1</v>
      </c>
      <c r="E725" s="64">
        <f t="shared" si="57"/>
        <v>268.32815729997475</v>
      </c>
      <c r="F725" s="62" t="str">
        <f t="shared" si="58"/>
        <v/>
      </c>
    </row>
    <row r="726" spans="1:6">
      <c r="A726" s="60">
        <v>72100</v>
      </c>
      <c r="B726" s="60">
        <f t="shared" si="56"/>
        <v>2685144</v>
      </c>
      <c r="C726" s="60">
        <f t="shared" si="59"/>
        <v>2685144</v>
      </c>
      <c r="D726" s="61">
        <f t="shared" si="55"/>
        <v>1</v>
      </c>
      <c r="E726" s="64">
        <f t="shared" si="57"/>
        <v>268.51443164195103</v>
      </c>
      <c r="F726" s="62" t="str">
        <f t="shared" si="58"/>
        <v/>
      </c>
    </row>
    <row r="727" spans="1:6">
      <c r="A727" s="60">
        <v>72200</v>
      </c>
      <c r="B727" s="60">
        <f t="shared" si="56"/>
        <v>2687006</v>
      </c>
      <c r="C727" s="60">
        <f t="shared" si="59"/>
        <v>2687006</v>
      </c>
      <c r="D727" s="61">
        <f t="shared" si="55"/>
        <v>1</v>
      </c>
      <c r="E727" s="64">
        <f t="shared" si="57"/>
        <v>268.70057685088807</v>
      </c>
      <c r="F727" s="62" t="str">
        <f t="shared" si="58"/>
        <v/>
      </c>
    </row>
    <row r="728" spans="1:6">
      <c r="A728" s="60">
        <v>72300</v>
      </c>
      <c r="B728" s="60">
        <f t="shared" si="56"/>
        <v>2688866</v>
      </c>
      <c r="C728" s="60">
        <f t="shared" si="59"/>
        <v>2688866</v>
      </c>
      <c r="D728" s="61">
        <f t="shared" si="55"/>
        <v>1</v>
      </c>
      <c r="E728" s="64">
        <f t="shared" si="57"/>
        <v>268.88659319497503</v>
      </c>
      <c r="F728" s="62" t="str">
        <f t="shared" si="58"/>
        <v/>
      </c>
    </row>
    <row r="729" spans="1:6">
      <c r="A729" s="60">
        <v>72400</v>
      </c>
      <c r="B729" s="60">
        <f t="shared" si="56"/>
        <v>2690725</v>
      </c>
      <c r="C729" s="60">
        <f t="shared" si="59"/>
        <v>2690725</v>
      </c>
      <c r="D729" s="61">
        <f t="shared" si="55"/>
        <v>1</v>
      </c>
      <c r="E729" s="64">
        <f t="shared" si="57"/>
        <v>269.07248094147423</v>
      </c>
      <c r="F729" s="62" t="str">
        <f t="shared" si="58"/>
        <v/>
      </c>
    </row>
    <row r="730" spans="1:6">
      <c r="A730" s="60">
        <v>72500</v>
      </c>
      <c r="B730" s="60">
        <f t="shared" si="56"/>
        <v>2692582</v>
      </c>
      <c r="C730" s="60">
        <f t="shared" si="59"/>
        <v>2692582</v>
      </c>
      <c r="D730" s="61">
        <f t="shared" si="55"/>
        <v>1</v>
      </c>
      <c r="E730" s="64">
        <f t="shared" si="57"/>
        <v>269.2582403567252</v>
      </c>
      <c r="F730" s="62" t="str">
        <f t="shared" si="58"/>
        <v/>
      </c>
    </row>
    <row r="731" spans="1:6">
      <c r="A731" s="60">
        <v>72600</v>
      </c>
      <c r="B731" s="60">
        <f t="shared" si="56"/>
        <v>2694439</v>
      </c>
      <c r="C731" s="60">
        <f t="shared" si="59"/>
        <v>2694439</v>
      </c>
      <c r="D731" s="61">
        <f t="shared" si="55"/>
        <v>1</v>
      </c>
      <c r="E731" s="64">
        <f t="shared" si="57"/>
        <v>269.44387170614959</v>
      </c>
      <c r="F731" s="62" t="str">
        <f t="shared" si="58"/>
        <v/>
      </c>
    </row>
    <row r="732" spans="1:6">
      <c r="A732" s="60">
        <v>72700</v>
      </c>
      <c r="B732" s="60">
        <f t="shared" si="56"/>
        <v>2696294</v>
      </c>
      <c r="C732" s="60">
        <f t="shared" si="59"/>
        <v>2696294</v>
      </c>
      <c r="D732" s="61">
        <f t="shared" si="55"/>
        <v>1</v>
      </c>
      <c r="E732" s="64">
        <f t="shared" si="57"/>
        <v>269.62937525425525</v>
      </c>
      <c r="F732" s="62" t="str">
        <f t="shared" si="58"/>
        <v/>
      </c>
    </row>
    <row r="733" spans="1:6">
      <c r="A733" s="60">
        <v>72800</v>
      </c>
      <c r="B733" s="60">
        <f t="shared" si="56"/>
        <v>2698148</v>
      </c>
      <c r="C733" s="60">
        <f t="shared" si="59"/>
        <v>2698148</v>
      </c>
      <c r="D733" s="61">
        <f t="shared" si="55"/>
        <v>1</v>
      </c>
      <c r="E733" s="64">
        <f t="shared" si="57"/>
        <v>269.81475126464085</v>
      </c>
      <c r="F733" s="62" t="str">
        <f t="shared" si="58"/>
        <v/>
      </c>
    </row>
    <row r="734" spans="1:6">
      <c r="A734" s="60">
        <v>72900</v>
      </c>
      <c r="B734" s="60">
        <f t="shared" si="56"/>
        <v>2700000</v>
      </c>
      <c r="C734" s="60">
        <f t="shared" si="59"/>
        <v>2700000</v>
      </c>
      <c r="D734" s="61">
        <f t="shared" si="55"/>
        <v>1</v>
      </c>
      <c r="E734" s="64">
        <f t="shared" si="57"/>
        <v>270</v>
      </c>
      <c r="F734" s="62" t="str">
        <f t="shared" si="58"/>
        <v/>
      </c>
    </row>
    <row r="735" spans="1:6">
      <c r="A735" s="60">
        <v>73000</v>
      </c>
      <c r="B735" s="60">
        <f t="shared" si="56"/>
        <v>2701851</v>
      </c>
      <c r="C735" s="60">
        <f t="shared" si="59"/>
        <v>2701851</v>
      </c>
      <c r="D735" s="61">
        <f t="shared" si="55"/>
        <v>1</v>
      </c>
      <c r="E735" s="64">
        <f t="shared" si="57"/>
        <v>270.18512172212593</v>
      </c>
      <c r="F735" s="62" t="str">
        <f t="shared" si="58"/>
        <v/>
      </c>
    </row>
    <row r="736" spans="1:6">
      <c r="A736" s="60">
        <v>73100</v>
      </c>
      <c r="B736" s="60">
        <f t="shared" si="56"/>
        <v>2703701</v>
      </c>
      <c r="C736" s="60">
        <f t="shared" si="59"/>
        <v>2703701</v>
      </c>
      <c r="D736" s="61">
        <f t="shared" si="55"/>
        <v>1</v>
      </c>
      <c r="E736" s="64">
        <f t="shared" si="57"/>
        <v>270.37011669191548</v>
      </c>
      <c r="F736" s="62" t="str">
        <f t="shared" si="58"/>
        <v/>
      </c>
    </row>
    <row r="737" spans="1:6">
      <c r="A737" s="60">
        <v>73200</v>
      </c>
      <c r="B737" s="60">
        <f t="shared" si="56"/>
        <v>2705550</v>
      </c>
      <c r="C737" s="60">
        <f t="shared" si="59"/>
        <v>2705550</v>
      </c>
      <c r="D737" s="61">
        <f t="shared" si="55"/>
        <v>1</v>
      </c>
      <c r="E737" s="64">
        <f t="shared" si="57"/>
        <v>270.55498516937365</v>
      </c>
      <c r="F737" s="62" t="str">
        <f t="shared" si="58"/>
        <v/>
      </c>
    </row>
    <row r="738" spans="1:6">
      <c r="A738" s="60">
        <v>73300</v>
      </c>
      <c r="B738" s="60">
        <f t="shared" si="56"/>
        <v>2707397</v>
      </c>
      <c r="C738" s="60">
        <f t="shared" si="59"/>
        <v>2707397</v>
      </c>
      <c r="D738" s="61">
        <f t="shared" si="55"/>
        <v>1</v>
      </c>
      <c r="E738" s="64">
        <f t="shared" si="57"/>
        <v>270.73972741361769</v>
      </c>
      <c r="F738" s="62" t="str">
        <f t="shared" si="58"/>
        <v/>
      </c>
    </row>
    <row r="739" spans="1:6">
      <c r="A739" s="60">
        <v>73400</v>
      </c>
      <c r="B739" s="60">
        <f t="shared" si="56"/>
        <v>2709243</v>
      </c>
      <c r="C739" s="60">
        <f t="shared" si="59"/>
        <v>2709243</v>
      </c>
      <c r="D739" s="61">
        <f t="shared" si="55"/>
        <v>1</v>
      </c>
      <c r="E739" s="64">
        <f t="shared" si="57"/>
        <v>270.92434368288133</v>
      </c>
      <c r="F739" s="62" t="str">
        <f t="shared" si="58"/>
        <v/>
      </c>
    </row>
    <row r="740" spans="1:6">
      <c r="A740" s="60">
        <v>73500</v>
      </c>
      <c r="B740" s="60">
        <f t="shared" si="56"/>
        <v>2711088</v>
      </c>
      <c r="C740" s="60">
        <f t="shared" si="59"/>
        <v>2711088</v>
      </c>
      <c r="D740" s="61">
        <f t="shared" si="55"/>
        <v>1</v>
      </c>
      <c r="E740" s="64">
        <f t="shared" si="57"/>
        <v>271.10883423451918</v>
      </c>
      <c r="F740" s="62" t="str">
        <f t="shared" si="58"/>
        <v/>
      </c>
    </row>
    <row r="741" spans="1:6">
      <c r="A741" s="60">
        <v>73600</v>
      </c>
      <c r="B741" s="60">
        <f t="shared" si="56"/>
        <v>2712932</v>
      </c>
      <c r="C741" s="60">
        <f t="shared" si="59"/>
        <v>2712932</v>
      </c>
      <c r="D741" s="61">
        <f t="shared" si="55"/>
        <v>1</v>
      </c>
      <c r="E741" s="64">
        <f t="shared" si="57"/>
        <v>271.29319932501073</v>
      </c>
      <c r="F741" s="62" t="str">
        <f t="shared" si="58"/>
        <v/>
      </c>
    </row>
    <row r="742" spans="1:6">
      <c r="A742" s="60">
        <v>73700</v>
      </c>
      <c r="B742" s="60">
        <f t="shared" si="56"/>
        <v>2714774</v>
      </c>
      <c r="C742" s="60">
        <f t="shared" si="59"/>
        <v>2714774</v>
      </c>
      <c r="D742" s="61">
        <f t="shared" si="55"/>
        <v>1</v>
      </c>
      <c r="E742" s="64">
        <f t="shared" si="57"/>
        <v>271.47743920996453</v>
      </c>
      <c r="F742" s="62" t="str">
        <f t="shared" si="58"/>
        <v/>
      </c>
    </row>
    <row r="743" spans="1:6">
      <c r="A743" s="60">
        <v>73800</v>
      </c>
      <c r="B743" s="60">
        <f t="shared" si="56"/>
        <v>2716616</v>
      </c>
      <c r="C743" s="60">
        <f t="shared" si="59"/>
        <v>2716616</v>
      </c>
      <c r="D743" s="61">
        <f t="shared" si="55"/>
        <v>1</v>
      </c>
      <c r="E743" s="64">
        <f t="shared" si="57"/>
        <v>271.66155414412248</v>
      </c>
      <c r="F743" s="62" t="str">
        <f t="shared" si="58"/>
        <v/>
      </c>
    </row>
    <row r="744" spans="1:6">
      <c r="A744" s="60">
        <v>73900</v>
      </c>
      <c r="B744" s="60">
        <f t="shared" si="56"/>
        <v>2718455</v>
      </c>
      <c r="C744" s="60">
        <f t="shared" si="59"/>
        <v>2718455</v>
      </c>
      <c r="D744" s="61">
        <f t="shared" si="55"/>
        <v>1</v>
      </c>
      <c r="E744" s="64">
        <f t="shared" si="57"/>
        <v>271.84554438136371</v>
      </c>
      <c r="F744" s="62" t="str">
        <f t="shared" si="58"/>
        <v/>
      </c>
    </row>
    <row r="745" spans="1:6">
      <c r="A745" s="60">
        <v>74000</v>
      </c>
      <c r="B745" s="60">
        <f t="shared" si="56"/>
        <v>2720294</v>
      </c>
      <c r="C745" s="60">
        <f t="shared" si="59"/>
        <v>2720294</v>
      </c>
      <c r="D745" s="61">
        <f t="shared" si="55"/>
        <v>1</v>
      </c>
      <c r="E745" s="64">
        <f t="shared" si="57"/>
        <v>272.02941017470886</v>
      </c>
      <c r="F745" s="62" t="str">
        <f t="shared" si="58"/>
        <v/>
      </c>
    </row>
    <row r="746" spans="1:6">
      <c r="A746" s="60">
        <v>74100</v>
      </c>
      <c r="B746" s="60">
        <f t="shared" si="56"/>
        <v>2722132</v>
      </c>
      <c r="C746" s="60">
        <f t="shared" si="59"/>
        <v>2722132</v>
      </c>
      <c r="D746" s="61">
        <f t="shared" si="55"/>
        <v>1</v>
      </c>
      <c r="E746" s="64">
        <f t="shared" si="57"/>
        <v>272.21315177632397</v>
      </c>
      <c r="F746" s="62" t="str">
        <f t="shared" si="58"/>
        <v/>
      </c>
    </row>
    <row r="747" spans="1:6">
      <c r="A747" s="60">
        <v>74200</v>
      </c>
      <c r="B747" s="60">
        <f t="shared" si="56"/>
        <v>2723968</v>
      </c>
      <c r="C747" s="60">
        <f t="shared" si="59"/>
        <v>2723968</v>
      </c>
      <c r="D747" s="61">
        <f t="shared" si="55"/>
        <v>1</v>
      </c>
      <c r="E747" s="64">
        <f t="shared" si="57"/>
        <v>272.39676943752471</v>
      </c>
      <c r="F747" s="62" t="str">
        <f t="shared" si="58"/>
        <v/>
      </c>
    </row>
    <row r="748" spans="1:6">
      <c r="A748" s="60">
        <v>74300</v>
      </c>
      <c r="B748" s="60">
        <f t="shared" si="56"/>
        <v>2725803</v>
      </c>
      <c r="C748" s="60">
        <f t="shared" si="59"/>
        <v>2725803</v>
      </c>
      <c r="D748" s="61">
        <f t="shared" si="55"/>
        <v>1</v>
      </c>
      <c r="E748" s="64">
        <f t="shared" si="57"/>
        <v>272.58026340878018</v>
      </c>
      <c r="F748" s="62" t="str">
        <f t="shared" si="58"/>
        <v/>
      </c>
    </row>
    <row r="749" spans="1:6">
      <c r="A749" s="60">
        <v>74400</v>
      </c>
      <c r="B749" s="60">
        <f t="shared" si="56"/>
        <v>2727636</v>
      </c>
      <c r="C749" s="60">
        <f t="shared" si="59"/>
        <v>2727636</v>
      </c>
      <c r="D749" s="61">
        <f t="shared" si="55"/>
        <v>1</v>
      </c>
      <c r="E749" s="64">
        <f t="shared" si="57"/>
        <v>272.76363393971712</v>
      </c>
      <c r="F749" s="62" t="str">
        <f t="shared" si="58"/>
        <v/>
      </c>
    </row>
    <row r="750" spans="1:6">
      <c r="A750" s="60">
        <v>74500</v>
      </c>
      <c r="B750" s="60">
        <f t="shared" si="56"/>
        <v>2729469</v>
      </c>
      <c r="C750" s="60">
        <f t="shared" si="59"/>
        <v>2729469</v>
      </c>
      <c r="D750" s="61">
        <f t="shared" si="55"/>
        <v>1</v>
      </c>
      <c r="E750" s="64">
        <f t="shared" si="57"/>
        <v>272.9468812791236</v>
      </c>
      <c r="F750" s="62" t="str">
        <f t="shared" si="58"/>
        <v/>
      </c>
    </row>
    <row r="751" spans="1:6">
      <c r="A751" s="60">
        <v>74600</v>
      </c>
      <c r="B751" s="60">
        <f t="shared" si="56"/>
        <v>2731300</v>
      </c>
      <c r="C751" s="60">
        <f t="shared" si="59"/>
        <v>2731300</v>
      </c>
      <c r="D751" s="61">
        <f t="shared" si="55"/>
        <v>1</v>
      </c>
      <c r="E751" s="64">
        <f t="shared" si="57"/>
        <v>273.13000567495328</v>
      </c>
      <c r="F751" s="62" t="str">
        <f t="shared" si="58"/>
        <v/>
      </c>
    </row>
    <row r="752" spans="1:6">
      <c r="A752" s="60">
        <v>74700</v>
      </c>
      <c r="B752" s="60">
        <f t="shared" si="56"/>
        <v>2733130</v>
      </c>
      <c r="C752" s="60">
        <f t="shared" si="59"/>
        <v>2733130</v>
      </c>
      <c r="D752" s="61">
        <f t="shared" si="55"/>
        <v>1</v>
      </c>
      <c r="E752" s="64">
        <f t="shared" si="57"/>
        <v>273.31300737432895</v>
      </c>
      <c r="F752" s="62" t="str">
        <f t="shared" si="58"/>
        <v/>
      </c>
    </row>
    <row r="753" spans="1:6">
      <c r="A753" s="60">
        <v>74800</v>
      </c>
      <c r="B753" s="60">
        <f t="shared" si="56"/>
        <v>2734959</v>
      </c>
      <c r="C753" s="60">
        <f t="shared" si="59"/>
        <v>2734959</v>
      </c>
      <c r="D753" s="61">
        <f t="shared" si="55"/>
        <v>1</v>
      </c>
      <c r="E753" s="64">
        <f t="shared" si="57"/>
        <v>273.49588662354688</v>
      </c>
      <c r="F753" s="62" t="str">
        <f t="shared" si="58"/>
        <v/>
      </c>
    </row>
    <row r="754" spans="1:6">
      <c r="A754" s="60">
        <v>74900</v>
      </c>
      <c r="B754" s="60">
        <f t="shared" si="56"/>
        <v>2736786</v>
      </c>
      <c r="C754" s="60">
        <f t="shared" si="59"/>
        <v>2736786</v>
      </c>
      <c r="D754" s="61">
        <f t="shared" si="55"/>
        <v>1</v>
      </c>
      <c r="E754" s="64">
        <f t="shared" si="57"/>
        <v>273.67864366808016</v>
      </c>
      <c r="F754" s="62" t="str">
        <f t="shared" si="58"/>
        <v/>
      </c>
    </row>
    <row r="755" spans="1:6">
      <c r="A755" s="60">
        <v>75000</v>
      </c>
      <c r="B755" s="60">
        <f t="shared" si="56"/>
        <v>2738613</v>
      </c>
      <c r="C755" s="60">
        <f t="shared" si="59"/>
        <v>2738613</v>
      </c>
      <c r="D755" s="61">
        <f t="shared" si="55"/>
        <v>1</v>
      </c>
      <c r="E755" s="64">
        <f t="shared" si="57"/>
        <v>273.86127875258308</v>
      </c>
      <c r="F755" s="62" t="str">
        <f t="shared" si="58"/>
        <v/>
      </c>
    </row>
    <row r="756" spans="1:6">
      <c r="A756" s="60">
        <v>75100</v>
      </c>
      <c r="B756" s="60">
        <f t="shared" si="56"/>
        <v>2740438</v>
      </c>
      <c r="C756" s="60">
        <f t="shared" si="59"/>
        <v>2740438</v>
      </c>
      <c r="D756" s="61">
        <f t="shared" si="55"/>
        <v>1</v>
      </c>
      <c r="E756" s="64">
        <f t="shared" si="57"/>
        <v>274.04379212089441</v>
      </c>
      <c r="F756" s="62" t="str">
        <f t="shared" si="58"/>
        <v/>
      </c>
    </row>
    <row r="757" spans="1:6">
      <c r="A757" s="60">
        <v>75200</v>
      </c>
      <c r="B757" s="60">
        <f t="shared" si="56"/>
        <v>2742262</v>
      </c>
      <c r="C757" s="60">
        <f t="shared" si="59"/>
        <v>2742262</v>
      </c>
      <c r="D757" s="61">
        <f t="shared" si="55"/>
        <v>1</v>
      </c>
      <c r="E757" s="64">
        <f t="shared" si="57"/>
        <v>274.22618401604177</v>
      </c>
      <c r="F757" s="62" t="str">
        <f t="shared" si="58"/>
        <v/>
      </c>
    </row>
    <row r="758" spans="1:6">
      <c r="A758" s="60">
        <v>75300</v>
      </c>
      <c r="B758" s="60">
        <f t="shared" si="56"/>
        <v>2744085</v>
      </c>
      <c r="C758" s="60">
        <f t="shared" si="59"/>
        <v>2744085</v>
      </c>
      <c r="D758" s="61">
        <f t="shared" si="55"/>
        <v>1</v>
      </c>
      <c r="E758" s="64">
        <f t="shared" si="57"/>
        <v>274.40845468024486</v>
      </c>
      <c r="F758" s="62" t="str">
        <f t="shared" si="58"/>
        <v/>
      </c>
    </row>
    <row r="759" spans="1:6">
      <c r="A759" s="60">
        <v>75400</v>
      </c>
      <c r="B759" s="60">
        <f t="shared" si="56"/>
        <v>2745906</v>
      </c>
      <c r="C759" s="60">
        <f t="shared" si="59"/>
        <v>2745906</v>
      </c>
      <c r="D759" s="61">
        <f t="shared" si="55"/>
        <v>1</v>
      </c>
      <c r="E759" s="64">
        <f t="shared" si="57"/>
        <v>274.59060435491961</v>
      </c>
      <c r="F759" s="62" t="str">
        <f t="shared" si="58"/>
        <v/>
      </c>
    </row>
    <row r="760" spans="1:6">
      <c r="A760" s="60">
        <v>75500</v>
      </c>
      <c r="B760" s="60">
        <f t="shared" si="56"/>
        <v>2747726</v>
      </c>
      <c r="C760" s="60">
        <f t="shared" si="59"/>
        <v>2747726</v>
      </c>
      <c r="D760" s="61">
        <f t="shared" si="55"/>
        <v>1</v>
      </c>
      <c r="E760" s="64">
        <f t="shared" si="57"/>
        <v>274.7726332806817</v>
      </c>
      <c r="F760" s="62" t="str">
        <f t="shared" si="58"/>
        <v/>
      </c>
    </row>
    <row r="761" spans="1:6">
      <c r="A761" s="60">
        <v>75600</v>
      </c>
      <c r="B761" s="60">
        <f t="shared" si="56"/>
        <v>2749545</v>
      </c>
      <c r="C761" s="60">
        <f t="shared" si="59"/>
        <v>2749545</v>
      </c>
      <c r="D761" s="61">
        <f t="shared" si="55"/>
        <v>1</v>
      </c>
      <c r="E761" s="64">
        <f t="shared" si="57"/>
        <v>274.95454169735041</v>
      </c>
      <c r="F761" s="62" t="str">
        <f t="shared" si="58"/>
        <v/>
      </c>
    </row>
    <row r="762" spans="1:6">
      <c r="A762" s="60">
        <v>75700</v>
      </c>
      <c r="B762" s="60">
        <f t="shared" si="56"/>
        <v>2751363</v>
      </c>
      <c r="C762" s="60">
        <f t="shared" si="59"/>
        <v>2751363</v>
      </c>
      <c r="D762" s="61">
        <f t="shared" si="55"/>
        <v>1</v>
      </c>
      <c r="E762" s="64">
        <f t="shared" si="57"/>
        <v>275.13632984395207</v>
      </c>
      <c r="F762" s="62" t="str">
        <f t="shared" si="58"/>
        <v/>
      </c>
    </row>
    <row r="763" spans="1:6">
      <c r="A763" s="60">
        <v>75800</v>
      </c>
      <c r="B763" s="60">
        <f t="shared" si="56"/>
        <v>2753180</v>
      </c>
      <c r="C763" s="60">
        <f t="shared" si="59"/>
        <v>2753180</v>
      </c>
      <c r="D763" s="61">
        <f t="shared" si="55"/>
        <v>1</v>
      </c>
      <c r="E763" s="64">
        <f t="shared" si="57"/>
        <v>275.31799795872411</v>
      </c>
      <c r="F763" s="62" t="str">
        <f t="shared" si="58"/>
        <v/>
      </c>
    </row>
    <row r="764" spans="1:6">
      <c r="A764" s="60">
        <v>75900</v>
      </c>
      <c r="B764" s="60">
        <f t="shared" si="56"/>
        <v>2754995</v>
      </c>
      <c r="C764" s="60">
        <f t="shared" si="59"/>
        <v>2754995</v>
      </c>
      <c r="D764" s="61">
        <f t="shared" si="55"/>
        <v>1</v>
      </c>
      <c r="E764" s="64">
        <f t="shared" si="57"/>
        <v>275.49954627911819</v>
      </c>
      <c r="F764" s="62" t="str">
        <f t="shared" si="58"/>
        <v/>
      </c>
    </row>
    <row r="765" spans="1:6">
      <c r="A765" s="60">
        <v>76000</v>
      </c>
      <c r="B765" s="60">
        <f t="shared" si="56"/>
        <v>2756810</v>
      </c>
      <c r="C765" s="60">
        <f t="shared" si="59"/>
        <v>2756810</v>
      </c>
      <c r="D765" s="61">
        <f t="shared" si="55"/>
        <v>1</v>
      </c>
      <c r="E765" s="64">
        <f t="shared" si="57"/>
        <v>275.68097504180446</v>
      </c>
      <c r="F765" s="62" t="str">
        <f t="shared" si="58"/>
        <v/>
      </c>
    </row>
    <row r="766" spans="1:6">
      <c r="A766" s="60">
        <v>76100</v>
      </c>
      <c r="B766" s="60">
        <f t="shared" si="56"/>
        <v>2758623</v>
      </c>
      <c r="C766" s="60">
        <f t="shared" si="59"/>
        <v>2758623</v>
      </c>
      <c r="D766" s="61">
        <f t="shared" si="55"/>
        <v>1</v>
      </c>
      <c r="E766" s="64">
        <f t="shared" si="57"/>
        <v>275.86228448267445</v>
      </c>
      <c r="F766" s="62" t="str">
        <f t="shared" si="58"/>
        <v/>
      </c>
    </row>
    <row r="767" spans="1:6">
      <c r="A767" s="60">
        <v>76200</v>
      </c>
      <c r="B767" s="60">
        <f t="shared" si="56"/>
        <v>2760435</v>
      </c>
      <c r="C767" s="60">
        <f t="shared" si="59"/>
        <v>2760435</v>
      </c>
      <c r="D767" s="61">
        <f t="shared" si="55"/>
        <v>1</v>
      </c>
      <c r="E767" s="64">
        <f t="shared" si="57"/>
        <v>276.04347483684523</v>
      </c>
      <c r="F767" s="62" t="str">
        <f t="shared" si="58"/>
        <v/>
      </c>
    </row>
    <row r="768" spans="1:6">
      <c r="A768" s="60">
        <v>76300</v>
      </c>
      <c r="B768" s="60">
        <f t="shared" si="56"/>
        <v>2762245</v>
      </c>
      <c r="C768" s="60">
        <f t="shared" si="59"/>
        <v>2762245</v>
      </c>
      <c r="D768" s="61">
        <f t="shared" si="55"/>
        <v>1</v>
      </c>
      <c r="E768" s="64">
        <f t="shared" si="57"/>
        <v>276.22454633866266</v>
      </c>
      <c r="F768" s="62" t="str">
        <f t="shared" si="58"/>
        <v/>
      </c>
    </row>
    <row r="769" spans="1:6">
      <c r="A769" s="60">
        <v>76400</v>
      </c>
      <c r="B769" s="60">
        <f t="shared" si="56"/>
        <v>2764055</v>
      </c>
      <c r="C769" s="60">
        <f t="shared" si="59"/>
        <v>2764055</v>
      </c>
      <c r="D769" s="61">
        <f t="shared" si="55"/>
        <v>1</v>
      </c>
      <c r="E769" s="64">
        <f t="shared" si="57"/>
        <v>276.40549922170504</v>
      </c>
      <c r="F769" s="62" t="str">
        <f t="shared" si="58"/>
        <v/>
      </c>
    </row>
    <row r="770" spans="1:6">
      <c r="A770" s="60">
        <v>76500</v>
      </c>
      <c r="B770" s="60">
        <f t="shared" si="56"/>
        <v>2765863</v>
      </c>
      <c r="C770" s="60">
        <f t="shared" si="59"/>
        <v>2765863</v>
      </c>
      <c r="D770" s="61">
        <f t="shared" si="55"/>
        <v>1</v>
      </c>
      <c r="E770" s="64">
        <f t="shared" si="57"/>
        <v>276.58633371878659</v>
      </c>
      <c r="F770" s="62" t="str">
        <f t="shared" si="58"/>
        <v/>
      </c>
    </row>
    <row r="771" spans="1:6">
      <c r="A771" s="60">
        <v>76600</v>
      </c>
      <c r="B771" s="60">
        <f t="shared" si="56"/>
        <v>2767671</v>
      </c>
      <c r="C771" s="60">
        <f t="shared" si="59"/>
        <v>2767671</v>
      </c>
      <c r="D771" s="61">
        <f t="shared" si="55"/>
        <v>1</v>
      </c>
      <c r="E771" s="64">
        <f t="shared" si="57"/>
        <v>276.76705006196096</v>
      </c>
      <c r="F771" s="62" t="str">
        <f t="shared" si="58"/>
        <v/>
      </c>
    </row>
    <row r="772" spans="1:6">
      <c r="A772" s="60">
        <v>76700</v>
      </c>
      <c r="B772" s="60">
        <f t="shared" si="56"/>
        <v>2769476</v>
      </c>
      <c r="C772" s="60">
        <f t="shared" si="59"/>
        <v>2769476</v>
      </c>
      <c r="D772" s="61">
        <f t="shared" si="55"/>
        <v>1</v>
      </c>
      <c r="E772" s="64">
        <f t="shared" si="57"/>
        <v>276.94764848252458</v>
      </c>
      <c r="F772" s="62" t="str">
        <f t="shared" si="58"/>
        <v/>
      </c>
    </row>
    <row r="773" spans="1:6">
      <c r="A773" s="60">
        <v>76800</v>
      </c>
      <c r="B773" s="60">
        <f t="shared" si="56"/>
        <v>2771281</v>
      </c>
      <c r="C773" s="60">
        <f t="shared" si="59"/>
        <v>2771281</v>
      </c>
      <c r="D773" s="61">
        <f t="shared" ref="D773:D836" si="60">(A773-INDEX(兵力区间,MATCH(A773,兵力区间,1)))/(INDEX(兵力区间,MATCH(A773,兵力区间,1)+1)-INDEX(兵力区间,MATCH(A773,兵力区间,1)))*((INDEX(兵力调节,MATCH(A773,兵力区间,1)+1,2)-INDEX(兵力调节,MATCH(A773,兵力区间,1),2)))+INDEX(兵力调节,MATCH(A773,兵力区间,1),2)</f>
        <v>1</v>
      </c>
      <c r="E773" s="64">
        <f t="shared" si="57"/>
        <v>277.12812921102039</v>
      </c>
      <c r="F773" s="62" t="str">
        <f t="shared" si="58"/>
        <v/>
      </c>
    </row>
    <row r="774" spans="1:6">
      <c r="A774" s="60">
        <v>76900</v>
      </c>
      <c r="B774" s="60">
        <f t="shared" si="56"/>
        <v>2773085</v>
      </c>
      <c r="C774" s="60">
        <f t="shared" si="59"/>
        <v>2773085</v>
      </c>
      <c r="D774" s="61">
        <f t="shared" si="60"/>
        <v>1</v>
      </c>
      <c r="E774" s="64">
        <f t="shared" si="57"/>
        <v>277.30849247724097</v>
      </c>
      <c r="F774" s="62" t="str">
        <f t="shared" si="58"/>
        <v/>
      </c>
    </row>
    <row r="775" spans="1:6">
      <c r="A775" s="60">
        <v>77000</v>
      </c>
      <c r="B775" s="60">
        <f t="shared" ref="B775:B838" si="61">ROUND(D775*E775*10000,0)</f>
        <v>2774887</v>
      </c>
      <c r="C775" s="60">
        <f t="shared" si="59"/>
        <v>2774887</v>
      </c>
      <c r="D775" s="61">
        <f t="shared" si="60"/>
        <v>1</v>
      </c>
      <c r="E775" s="64">
        <f t="shared" ref="E775:E838" si="62">A775^0.5</f>
        <v>277.48873851023217</v>
      </c>
      <c r="F775" s="62" t="str">
        <f t="shared" si="58"/>
        <v/>
      </c>
    </row>
    <row r="776" spans="1:6">
      <c r="A776" s="60">
        <v>77100</v>
      </c>
      <c r="B776" s="60">
        <f t="shared" si="61"/>
        <v>2776689</v>
      </c>
      <c r="C776" s="60">
        <f t="shared" si="59"/>
        <v>2776689</v>
      </c>
      <c r="D776" s="61">
        <f t="shared" si="60"/>
        <v>1</v>
      </c>
      <c r="E776" s="64">
        <f t="shared" si="62"/>
        <v>277.66886753829641</v>
      </c>
      <c r="F776" s="62" t="str">
        <f t="shared" ref="F776:F839" si="63">IF(B776&lt;B775,1,"")</f>
        <v/>
      </c>
    </row>
    <row r="777" spans="1:6">
      <c r="A777" s="60">
        <v>77200</v>
      </c>
      <c r="B777" s="60">
        <f t="shared" si="61"/>
        <v>2778489</v>
      </c>
      <c r="C777" s="60">
        <f t="shared" si="59"/>
        <v>2778489</v>
      </c>
      <c r="D777" s="61">
        <f t="shared" si="60"/>
        <v>1</v>
      </c>
      <c r="E777" s="64">
        <f t="shared" si="62"/>
        <v>277.8488797889961</v>
      </c>
      <c r="F777" s="62" t="str">
        <f t="shared" si="63"/>
        <v/>
      </c>
    </row>
    <row r="778" spans="1:6">
      <c r="A778" s="60">
        <v>77300</v>
      </c>
      <c r="B778" s="60">
        <f t="shared" si="61"/>
        <v>2780288</v>
      </c>
      <c r="C778" s="60">
        <f t="shared" si="59"/>
        <v>2780288</v>
      </c>
      <c r="D778" s="61">
        <f t="shared" si="60"/>
        <v>1</v>
      </c>
      <c r="E778" s="64">
        <f t="shared" si="62"/>
        <v>278.02877548915689</v>
      </c>
      <c r="F778" s="62" t="str">
        <f t="shared" si="63"/>
        <v/>
      </c>
    </row>
    <row r="779" spans="1:6">
      <c r="A779" s="60">
        <v>77400</v>
      </c>
      <c r="B779" s="60">
        <f t="shared" si="61"/>
        <v>2782086</v>
      </c>
      <c r="C779" s="60">
        <f t="shared" ref="C779:C842" si="64">ROUND(D779*E779*10000,0)</f>
        <v>2782086</v>
      </c>
      <c r="D779" s="61">
        <f t="shared" si="60"/>
        <v>1</v>
      </c>
      <c r="E779" s="64">
        <f t="shared" si="62"/>
        <v>278.20855486487113</v>
      </c>
      <c r="F779" s="62" t="str">
        <f t="shared" si="63"/>
        <v/>
      </c>
    </row>
    <row r="780" spans="1:6">
      <c r="A780" s="60">
        <v>77500</v>
      </c>
      <c r="B780" s="60">
        <f t="shared" si="61"/>
        <v>2783882</v>
      </c>
      <c r="C780" s="60">
        <f t="shared" si="64"/>
        <v>2783882</v>
      </c>
      <c r="D780" s="61">
        <f t="shared" si="60"/>
        <v>1</v>
      </c>
      <c r="E780" s="64">
        <f t="shared" si="62"/>
        <v>278.38821814150111</v>
      </c>
      <c r="F780" s="62" t="str">
        <f t="shared" si="63"/>
        <v/>
      </c>
    </row>
    <row r="781" spans="1:6">
      <c r="A781" s="60">
        <v>77600</v>
      </c>
      <c r="B781" s="60">
        <f t="shared" si="61"/>
        <v>2785678</v>
      </c>
      <c r="C781" s="60">
        <f t="shared" si="64"/>
        <v>2785678</v>
      </c>
      <c r="D781" s="61">
        <f t="shared" si="60"/>
        <v>1</v>
      </c>
      <c r="E781" s="64">
        <f t="shared" si="62"/>
        <v>278.56776554368241</v>
      </c>
      <c r="F781" s="62" t="str">
        <f t="shared" si="63"/>
        <v/>
      </c>
    </row>
    <row r="782" spans="1:6">
      <c r="A782" s="60">
        <v>77700</v>
      </c>
      <c r="B782" s="60">
        <f t="shared" si="61"/>
        <v>2787472</v>
      </c>
      <c r="C782" s="60">
        <f t="shared" si="64"/>
        <v>2787472</v>
      </c>
      <c r="D782" s="61">
        <f t="shared" si="60"/>
        <v>1</v>
      </c>
      <c r="E782" s="64">
        <f t="shared" si="62"/>
        <v>278.74719729532706</v>
      </c>
      <c r="F782" s="62" t="str">
        <f t="shared" si="63"/>
        <v/>
      </c>
    </row>
    <row r="783" spans="1:6">
      <c r="A783" s="60">
        <v>77800</v>
      </c>
      <c r="B783" s="60">
        <f t="shared" si="61"/>
        <v>2789265</v>
      </c>
      <c r="C783" s="60">
        <f t="shared" si="64"/>
        <v>2789265</v>
      </c>
      <c r="D783" s="61">
        <f t="shared" si="60"/>
        <v>1</v>
      </c>
      <c r="E783" s="64">
        <f t="shared" si="62"/>
        <v>278.92651361962709</v>
      </c>
      <c r="F783" s="62" t="str">
        <f t="shared" si="63"/>
        <v/>
      </c>
    </row>
    <row r="784" spans="1:6">
      <c r="A784" s="60">
        <v>77900</v>
      </c>
      <c r="B784" s="60">
        <f t="shared" si="61"/>
        <v>2791057</v>
      </c>
      <c r="C784" s="60">
        <f t="shared" si="64"/>
        <v>2791057</v>
      </c>
      <c r="D784" s="61">
        <f t="shared" si="60"/>
        <v>1</v>
      </c>
      <c r="E784" s="64">
        <f t="shared" si="62"/>
        <v>279.10571473905725</v>
      </c>
      <c r="F784" s="62" t="str">
        <f t="shared" si="63"/>
        <v/>
      </c>
    </row>
    <row r="785" spans="1:6">
      <c r="A785" s="60">
        <v>78000</v>
      </c>
      <c r="B785" s="60">
        <f t="shared" si="61"/>
        <v>2792848</v>
      </c>
      <c r="C785" s="60">
        <f t="shared" si="64"/>
        <v>2792848</v>
      </c>
      <c r="D785" s="61">
        <f t="shared" si="60"/>
        <v>1</v>
      </c>
      <c r="E785" s="64">
        <f t="shared" si="62"/>
        <v>279.28480087537883</v>
      </c>
      <c r="F785" s="62" t="str">
        <f t="shared" si="63"/>
        <v/>
      </c>
    </row>
    <row r="786" spans="1:6">
      <c r="A786" s="60">
        <v>78100</v>
      </c>
      <c r="B786" s="60">
        <f t="shared" si="61"/>
        <v>2794638</v>
      </c>
      <c r="C786" s="60">
        <f t="shared" si="64"/>
        <v>2794638</v>
      </c>
      <c r="D786" s="61">
        <f t="shared" si="60"/>
        <v>1</v>
      </c>
      <c r="E786" s="64">
        <f t="shared" si="62"/>
        <v>279.46377224964243</v>
      </c>
      <c r="F786" s="62" t="str">
        <f t="shared" si="63"/>
        <v/>
      </c>
    </row>
    <row r="787" spans="1:6">
      <c r="A787" s="60">
        <v>78200</v>
      </c>
      <c r="B787" s="60">
        <f t="shared" si="61"/>
        <v>2796426</v>
      </c>
      <c r="C787" s="60">
        <f t="shared" si="64"/>
        <v>2796426</v>
      </c>
      <c r="D787" s="61">
        <f t="shared" si="60"/>
        <v>1</v>
      </c>
      <c r="E787" s="64">
        <f t="shared" si="62"/>
        <v>279.64262908219126</v>
      </c>
      <c r="F787" s="62" t="str">
        <f t="shared" si="63"/>
        <v/>
      </c>
    </row>
    <row r="788" spans="1:6">
      <c r="A788" s="60">
        <v>78300</v>
      </c>
      <c r="B788" s="60">
        <f t="shared" si="61"/>
        <v>2798214</v>
      </c>
      <c r="C788" s="60">
        <f t="shared" si="64"/>
        <v>2798214</v>
      </c>
      <c r="D788" s="61">
        <f t="shared" si="60"/>
        <v>1</v>
      </c>
      <c r="E788" s="64">
        <f t="shared" si="62"/>
        <v>279.82137159266443</v>
      </c>
      <c r="F788" s="62" t="str">
        <f t="shared" si="63"/>
        <v/>
      </c>
    </row>
    <row r="789" spans="1:6">
      <c r="A789" s="60">
        <v>78400</v>
      </c>
      <c r="B789" s="60">
        <f t="shared" si="61"/>
        <v>2800000</v>
      </c>
      <c r="C789" s="60">
        <f t="shared" si="64"/>
        <v>2800000</v>
      </c>
      <c r="D789" s="61">
        <f t="shared" si="60"/>
        <v>1</v>
      </c>
      <c r="E789" s="64">
        <f t="shared" si="62"/>
        <v>280</v>
      </c>
      <c r="F789" s="62" t="str">
        <f t="shared" si="63"/>
        <v/>
      </c>
    </row>
    <row r="790" spans="1:6">
      <c r="A790" s="60">
        <v>78500</v>
      </c>
      <c r="B790" s="60">
        <f t="shared" si="61"/>
        <v>2801785</v>
      </c>
      <c r="C790" s="60">
        <f t="shared" si="64"/>
        <v>2801785</v>
      </c>
      <c r="D790" s="61">
        <f t="shared" si="60"/>
        <v>1</v>
      </c>
      <c r="E790" s="64">
        <f t="shared" si="62"/>
        <v>280.17851452243798</v>
      </c>
      <c r="F790" s="62" t="str">
        <f t="shared" si="63"/>
        <v/>
      </c>
    </row>
    <row r="791" spans="1:6">
      <c r="A791" s="60">
        <v>78600</v>
      </c>
      <c r="B791" s="60">
        <f t="shared" si="61"/>
        <v>2803569</v>
      </c>
      <c r="C791" s="60">
        <f t="shared" si="64"/>
        <v>2803569</v>
      </c>
      <c r="D791" s="61">
        <f t="shared" si="60"/>
        <v>1</v>
      </c>
      <c r="E791" s="64">
        <f t="shared" si="62"/>
        <v>280.35691537752371</v>
      </c>
      <c r="F791" s="62" t="str">
        <f t="shared" si="63"/>
        <v/>
      </c>
    </row>
    <row r="792" spans="1:6">
      <c r="A792" s="60">
        <v>78700</v>
      </c>
      <c r="B792" s="60">
        <f t="shared" si="61"/>
        <v>2805352</v>
      </c>
      <c r="C792" s="60">
        <f t="shared" si="64"/>
        <v>2805352</v>
      </c>
      <c r="D792" s="61">
        <f t="shared" si="60"/>
        <v>1</v>
      </c>
      <c r="E792" s="64">
        <f t="shared" si="62"/>
        <v>280.53520278211073</v>
      </c>
      <c r="F792" s="62" t="str">
        <f t="shared" si="63"/>
        <v/>
      </c>
    </row>
    <row r="793" spans="1:6">
      <c r="A793" s="60">
        <v>78800</v>
      </c>
      <c r="B793" s="60">
        <f t="shared" si="61"/>
        <v>2807134</v>
      </c>
      <c r="C793" s="60">
        <f t="shared" si="64"/>
        <v>2807134</v>
      </c>
      <c r="D793" s="61">
        <f t="shared" si="60"/>
        <v>1</v>
      </c>
      <c r="E793" s="64">
        <f t="shared" si="62"/>
        <v>280.713376952364</v>
      </c>
      <c r="F793" s="62" t="str">
        <f t="shared" si="63"/>
        <v/>
      </c>
    </row>
    <row r="794" spans="1:6">
      <c r="A794" s="60">
        <v>78900</v>
      </c>
      <c r="B794" s="60">
        <f t="shared" si="61"/>
        <v>2808914</v>
      </c>
      <c r="C794" s="60">
        <f t="shared" si="64"/>
        <v>2808914</v>
      </c>
      <c r="D794" s="61">
        <f t="shared" si="60"/>
        <v>1</v>
      </c>
      <c r="E794" s="64">
        <f t="shared" si="62"/>
        <v>280.89143810376277</v>
      </c>
      <c r="F794" s="62" t="str">
        <f t="shared" si="63"/>
        <v/>
      </c>
    </row>
    <row r="795" spans="1:6">
      <c r="A795" s="60">
        <v>79000</v>
      </c>
      <c r="B795" s="60">
        <f t="shared" si="61"/>
        <v>2810694</v>
      </c>
      <c r="C795" s="60">
        <f t="shared" si="64"/>
        <v>2810694</v>
      </c>
      <c r="D795" s="61">
        <f t="shared" si="60"/>
        <v>1</v>
      </c>
      <c r="E795" s="64">
        <f t="shared" si="62"/>
        <v>281.06938645110392</v>
      </c>
      <c r="F795" s="62" t="str">
        <f t="shared" si="63"/>
        <v/>
      </c>
    </row>
    <row r="796" spans="1:6">
      <c r="A796" s="60">
        <v>79100</v>
      </c>
      <c r="B796" s="60">
        <f t="shared" si="61"/>
        <v>2812472</v>
      </c>
      <c r="C796" s="60">
        <f t="shared" si="64"/>
        <v>2812472</v>
      </c>
      <c r="D796" s="61">
        <f t="shared" si="60"/>
        <v>1</v>
      </c>
      <c r="E796" s="64">
        <f t="shared" si="62"/>
        <v>281.24722220850464</v>
      </c>
      <c r="F796" s="62" t="str">
        <f t="shared" si="63"/>
        <v/>
      </c>
    </row>
    <row r="797" spans="1:6">
      <c r="A797" s="60">
        <v>79200</v>
      </c>
      <c r="B797" s="60">
        <f t="shared" si="61"/>
        <v>2814249</v>
      </c>
      <c r="C797" s="60">
        <f t="shared" si="64"/>
        <v>2814249</v>
      </c>
      <c r="D797" s="61">
        <f t="shared" si="60"/>
        <v>1</v>
      </c>
      <c r="E797" s="64">
        <f t="shared" si="62"/>
        <v>281.42494558940575</v>
      </c>
      <c r="F797" s="62" t="str">
        <f t="shared" si="63"/>
        <v/>
      </c>
    </row>
    <row r="798" spans="1:6">
      <c r="A798" s="60">
        <v>79300</v>
      </c>
      <c r="B798" s="60">
        <f t="shared" si="61"/>
        <v>2816026</v>
      </c>
      <c r="C798" s="60">
        <f t="shared" si="64"/>
        <v>2816026</v>
      </c>
      <c r="D798" s="61">
        <f t="shared" si="60"/>
        <v>1</v>
      </c>
      <c r="E798" s="64">
        <f t="shared" si="62"/>
        <v>281.60255680657446</v>
      </c>
      <c r="F798" s="62" t="str">
        <f t="shared" si="63"/>
        <v/>
      </c>
    </row>
    <row r="799" spans="1:6">
      <c r="A799" s="60">
        <v>79400</v>
      </c>
      <c r="B799" s="60">
        <f t="shared" si="61"/>
        <v>2817801</v>
      </c>
      <c r="C799" s="60">
        <f t="shared" si="64"/>
        <v>2817801</v>
      </c>
      <c r="D799" s="61">
        <f t="shared" si="60"/>
        <v>1</v>
      </c>
      <c r="E799" s="64">
        <f t="shared" si="62"/>
        <v>281.78005607210741</v>
      </c>
      <c r="F799" s="62" t="str">
        <f t="shared" si="63"/>
        <v/>
      </c>
    </row>
    <row r="800" spans="1:6">
      <c r="A800" s="60">
        <v>79500</v>
      </c>
      <c r="B800" s="60">
        <f t="shared" si="61"/>
        <v>2819574</v>
      </c>
      <c r="C800" s="60">
        <f t="shared" si="64"/>
        <v>2819574</v>
      </c>
      <c r="D800" s="61">
        <f t="shared" si="60"/>
        <v>1</v>
      </c>
      <c r="E800" s="64">
        <f t="shared" si="62"/>
        <v>281.95744359743367</v>
      </c>
      <c r="F800" s="62" t="str">
        <f t="shared" si="63"/>
        <v/>
      </c>
    </row>
    <row r="801" spans="1:6">
      <c r="A801" s="60">
        <v>79600</v>
      </c>
      <c r="B801" s="60">
        <f t="shared" si="61"/>
        <v>2821347</v>
      </c>
      <c r="C801" s="60">
        <f t="shared" si="64"/>
        <v>2821347</v>
      </c>
      <c r="D801" s="61">
        <f t="shared" si="60"/>
        <v>1</v>
      </c>
      <c r="E801" s="64">
        <f t="shared" si="62"/>
        <v>282.1347195933177</v>
      </c>
      <c r="F801" s="62" t="str">
        <f t="shared" si="63"/>
        <v/>
      </c>
    </row>
    <row r="802" spans="1:6">
      <c r="A802" s="60">
        <v>79700</v>
      </c>
      <c r="B802" s="60">
        <f t="shared" si="61"/>
        <v>2823119</v>
      </c>
      <c r="C802" s="60">
        <f t="shared" si="64"/>
        <v>2823119</v>
      </c>
      <c r="D802" s="61">
        <f t="shared" si="60"/>
        <v>1</v>
      </c>
      <c r="E802" s="64">
        <f t="shared" si="62"/>
        <v>282.31188426986211</v>
      </c>
      <c r="F802" s="62" t="str">
        <f t="shared" si="63"/>
        <v/>
      </c>
    </row>
    <row r="803" spans="1:6">
      <c r="A803" s="60">
        <v>79800</v>
      </c>
      <c r="B803" s="60">
        <f t="shared" si="61"/>
        <v>2824889</v>
      </c>
      <c r="C803" s="60">
        <f t="shared" si="64"/>
        <v>2824889</v>
      </c>
      <c r="D803" s="61">
        <f t="shared" si="60"/>
        <v>1</v>
      </c>
      <c r="E803" s="64">
        <f t="shared" si="62"/>
        <v>282.48893783651067</v>
      </c>
      <c r="F803" s="62" t="str">
        <f t="shared" si="63"/>
        <v/>
      </c>
    </row>
    <row r="804" spans="1:6">
      <c r="A804" s="60">
        <v>79900</v>
      </c>
      <c r="B804" s="60">
        <f t="shared" si="61"/>
        <v>2826659</v>
      </c>
      <c r="C804" s="60">
        <f t="shared" si="64"/>
        <v>2826659</v>
      </c>
      <c r="D804" s="61">
        <f t="shared" si="60"/>
        <v>1</v>
      </c>
      <c r="E804" s="64">
        <f t="shared" si="62"/>
        <v>282.66588050205138</v>
      </c>
      <c r="F804" s="62" t="str">
        <f t="shared" si="63"/>
        <v/>
      </c>
    </row>
    <row r="805" spans="1:6">
      <c r="A805" s="60">
        <v>80000</v>
      </c>
      <c r="B805" s="60">
        <f t="shared" si="61"/>
        <v>2828427</v>
      </c>
      <c r="C805" s="60">
        <f t="shared" si="64"/>
        <v>2828427</v>
      </c>
      <c r="D805" s="61">
        <f t="shared" si="60"/>
        <v>1</v>
      </c>
      <c r="E805" s="64">
        <f t="shared" si="62"/>
        <v>282.84271247461902</v>
      </c>
      <c r="F805" s="62" t="str">
        <f t="shared" si="63"/>
        <v/>
      </c>
    </row>
    <row r="806" spans="1:6">
      <c r="A806" s="60">
        <v>80100</v>
      </c>
      <c r="B806" s="60">
        <f t="shared" si="61"/>
        <v>2830194</v>
      </c>
      <c r="C806" s="60">
        <f t="shared" si="64"/>
        <v>2830194</v>
      </c>
      <c r="D806" s="61">
        <f t="shared" si="60"/>
        <v>1</v>
      </c>
      <c r="E806" s="64">
        <f t="shared" si="62"/>
        <v>283.0194339616981</v>
      </c>
      <c r="F806" s="62" t="str">
        <f t="shared" si="63"/>
        <v/>
      </c>
    </row>
    <row r="807" spans="1:6">
      <c r="A807" s="60">
        <v>80200</v>
      </c>
      <c r="B807" s="60">
        <f t="shared" si="61"/>
        <v>2831960</v>
      </c>
      <c r="C807" s="60">
        <f t="shared" si="64"/>
        <v>2831960</v>
      </c>
      <c r="D807" s="61">
        <f t="shared" si="60"/>
        <v>1</v>
      </c>
      <c r="E807" s="64">
        <f t="shared" si="62"/>
        <v>283.1960451701259</v>
      </c>
      <c r="F807" s="62" t="str">
        <f t="shared" si="63"/>
        <v/>
      </c>
    </row>
    <row r="808" spans="1:6">
      <c r="A808" s="60">
        <v>80300</v>
      </c>
      <c r="B808" s="60">
        <f t="shared" si="61"/>
        <v>2833725</v>
      </c>
      <c r="C808" s="60">
        <f t="shared" si="64"/>
        <v>2833725</v>
      </c>
      <c r="D808" s="61">
        <f t="shared" si="60"/>
        <v>1</v>
      </c>
      <c r="E808" s="64">
        <f t="shared" si="62"/>
        <v>283.3725463060951</v>
      </c>
      <c r="F808" s="62" t="str">
        <f t="shared" si="63"/>
        <v/>
      </c>
    </row>
    <row r="809" spans="1:6">
      <c r="A809" s="60">
        <v>80400</v>
      </c>
      <c r="B809" s="60">
        <f t="shared" si="61"/>
        <v>2835489</v>
      </c>
      <c r="C809" s="60">
        <f t="shared" si="64"/>
        <v>2835489</v>
      </c>
      <c r="D809" s="61">
        <f t="shared" si="60"/>
        <v>1</v>
      </c>
      <c r="E809" s="64">
        <f t="shared" si="62"/>
        <v>283.54893757515651</v>
      </c>
      <c r="F809" s="62" t="str">
        <f t="shared" si="63"/>
        <v/>
      </c>
    </row>
    <row r="810" spans="1:6">
      <c r="A810" s="60">
        <v>80500</v>
      </c>
      <c r="B810" s="60">
        <f t="shared" si="61"/>
        <v>2837252</v>
      </c>
      <c r="C810" s="60">
        <f t="shared" si="64"/>
        <v>2837252</v>
      </c>
      <c r="D810" s="61">
        <f t="shared" si="60"/>
        <v>1</v>
      </c>
      <c r="E810" s="64">
        <f t="shared" si="62"/>
        <v>283.72521918222213</v>
      </c>
      <c r="F810" s="62" t="str">
        <f t="shared" si="63"/>
        <v/>
      </c>
    </row>
    <row r="811" spans="1:6">
      <c r="A811" s="60">
        <v>80600</v>
      </c>
      <c r="B811" s="60">
        <f t="shared" si="61"/>
        <v>2839014</v>
      </c>
      <c r="C811" s="60">
        <f t="shared" si="64"/>
        <v>2839014</v>
      </c>
      <c r="D811" s="61">
        <f t="shared" si="60"/>
        <v>1</v>
      </c>
      <c r="E811" s="64">
        <f t="shared" si="62"/>
        <v>283.90139133156782</v>
      </c>
      <c r="F811" s="62" t="str">
        <f t="shared" si="63"/>
        <v/>
      </c>
    </row>
    <row r="812" spans="1:6">
      <c r="A812" s="60">
        <v>80700</v>
      </c>
      <c r="B812" s="60">
        <f t="shared" si="61"/>
        <v>2840775</v>
      </c>
      <c r="C812" s="60">
        <f t="shared" si="64"/>
        <v>2840775</v>
      </c>
      <c r="D812" s="61">
        <f t="shared" si="60"/>
        <v>1</v>
      </c>
      <c r="E812" s="64">
        <f t="shared" si="62"/>
        <v>284.07745422683581</v>
      </c>
      <c r="F812" s="62" t="str">
        <f t="shared" si="63"/>
        <v/>
      </c>
    </row>
    <row r="813" spans="1:6">
      <c r="A813" s="60">
        <v>80800</v>
      </c>
      <c r="B813" s="60">
        <f t="shared" si="61"/>
        <v>2842534</v>
      </c>
      <c r="C813" s="60">
        <f t="shared" si="64"/>
        <v>2842534</v>
      </c>
      <c r="D813" s="61">
        <f t="shared" si="60"/>
        <v>1</v>
      </c>
      <c r="E813" s="64">
        <f t="shared" si="62"/>
        <v>284.25340807103788</v>
      </c>
      <c r="F813" s="62" t="str">
        <f t="shared" si="63"/>
        <v/>
      </c>
    </row>
    <row r="814" spans="1:6">
      <c r="A814" s="60">
        <v>80900</v>
      </c>
      <c r="B814" s="60">
        <f t="shared" si="61"/>
        <v>2844293</v>
      </c>
      <c r="C814" s="60">
        <f t="shared" si="64"/>
        <v>2844293</v>
      </c>
      <c r="D814" s="61">
        <f t="shared" si="60"/>
        <v>1</v>
      </c>
      <c r="E814" s="64">
        <f t="shared" si="62"/>
        <v>284.42925306655786</v>
      </c>
      <c r="F814" s="62" t="str">
        <f t="shared" si="63"/>
        <v/>
      </c>
    </row>
    <row r="815" spans="1:6">
      <c r="A815" s="60">
        <v>81000</v>
      </c>
      <c r="B815" s="60">
        <f t="shared" si="61"/>
        <v>2846050</v>
      </c>
      <c r="C815" s="60">
        <f t="shared" si="64"/>
        <v>2846050</v>
      </c>
      <c r="D815" s="61">
        <f t="shared" si="60"/>
        <v>1</v>
      </c>
      <c r="E815" s="64">
        <f t="shared" si="62"/>
        <v>284.60498941515414</v>
      </c>
      <c r="F815" s="62" t="str">
        <f t="shared" si="63"/>
        <v/>
      </c>
    </row>
    <row r="816" spans="1:6">
      <c r="A816" s="60">
        <v>81100</v>
      </c>
      <c r="B816" s="60">
        <f t="shared" si="61"/>
        <v>2847806</v>
      </c>
      <c r="C816" s="60">
        <f t="shared" si="64"/>
        <v>2847806</v>
      </c>
      <c r="D816" s="61">
        <f t="shared" si="60"/>
        <v>1</v>
      </c>
      <c r="E816" s="64">
        <f t="shared" si="62"/>
        <v>284.78061731796282</v>
      </c>
      <c r="F816" s="62" t="str">
        <f t="shared" si="63"/>
        <v/>
      </c>
    </row>
    <row r="817" spans="1:6">
      <c r="A817" s="60">
        <v>81200</v>
      </c>
      <c r="B817" s="60">
        <f t="shared" si="61"/>
        <v>2849561</v>
      </c>
      <c r="C817" s="60">
        <f t="shared" si="64"/>
        <v>2849561</v>
      </c>
      <c r="D817" s="61">
        <f t="shared" si="60"/>
        <v>1</v>
      </c>
      <c r="E817" s="64">
        <f t="shared" si="62"/>
        <v>284.95613697550016</v>
      </c>
      <c r="F817" s="62" t="str">
        <f t="shared" si="63"/>
        <v/>
      </c>
    </row>
    <row r="818" spans="1:6">
      <c r="A818" s="60">
        <v>81300</v>
      </c>
      <c r="B818" s="60">
        <f t="shared" si="61"/>
        <v>2851315</v>
      </c>
      <c r="C818" s="60">
        <f t="shared" si="64"/>
        <v>2851315</v>
      </c>
      <c r="D818" s="61">
        <f t="shared" si="60"/>
        <v>1</v>
      </c>
      <c r="E818" s="64">
        <f t="shared" si="62"/>
        <v>285.13154858766507</v>
      </c>
      <c r="F818" s="62" t="str">
        <f t="shared" si="63"/>
        <v/>
      </c>
    </row>
    <row r="819" spans="1:6">
      <c r="A819" s="60">
        <v>81400</v>
      </c>
      <c r="B819" s="60">
        <f t="shared" si="61"/>
        <v>2853069</v>
      </c>
      <c r="C819" s="60">
        <f t="shared" si="64"/>
        <v>2853069</v>
      </c>
      <c r="D819" s="61">
        <f t="shared" si="60"/>
        <v>1</v>
      </c>
      <c r="E819" s="64">
        <f t="shared" si="62"/>
        <v>285.3068523537421</v>
      </c>
      <c r="F819" s="62" t="str">
        <f t="shared" si="63"/>
        <v/>
      </c>
    </row>
    <row r="820" spans="1:6">
      <c r="A820" s="60">
        <v>81500</v>
      </c>
      <c r="B820" s="60">
        <f t="shared" si="61"/>
        <v>2854820</v>
      </c>
      <c r="C820" s="60">
        <f t="shared" si="64"/>
        <v>2854820</v>
      </c>
      <c r="D820" s="61">
        <f t="shared" si="60"/>
        <v>1</v>
      </c>
      <c r="E820" s="64">
        <f t="shared" si="62"/>
        <v>285.48204847240396</v>
      </c>
      <c r="F820" s="62" t="str">
        <f t="shared" si="63"/>
        <v/>
      </c>
    </row>
    <row r="821" spans="1:6">
      <c r="A821" s="60">
        <v>81600</v>
      </c>
      <c r="B821" s="60">
        <f t="shared" si="61"/>
        <v>2856571</v>
      </c>
      <c r="C821" s="60">
        <f t="shared" si="64"/>
        <v>2856571</v>
      </c>
      <c r="D821" s="61">
        <f t="shared" si="60"/>
        <v>1</v>
      </c>
      <c r="E821" s="64">
        <f t="shared" si="62"/>
        <v>285.65713714171397</v>
      </c>
      <c r="F821" s="62" t="str">
        <f t="shared" si="63"/>
        <v/>
      </c>
    </row>
    <row r="822" spans="1:6">
      <c r="A822" s="60">
        <v>81700</v>
      </c>
      <c r="B822" s="60">
        <f t="shared" si="61"/>
        <v>2858321</v>
      </c>
      <c r="C822" s="60">
        <f t="shared" si="64"/>
        <v>2858321</v>
      </c>
      <c r="D822" s="61">
        <f t="shared" si="60"/>
        <v>1</v>
      </c>
      <c r="E822" s="64">
        <f t="shared" si="62"/>
        <v>285.83211855912901</v>
      </c>
      <c r="F822" s="62" t="str">
        <f t="shared" si="63"/>
        <v/>
      </c>
    </row>
    <row r="823" spans="1:6">
      <c r="A823" s="60">
        <v>81800</v>
      </c>
      <c r="B823" s="60">
        <f t="shared" si="61"/>
        <v>2860070</v>
      </c>
      <c r="C823" s="60">
        <f t="shared" si="64"/>
        <v>2860070</v>
      </c>
      <c r="D823" s="61">
        <f t="shared" si="60"/>
        <v>1</v>
      </c>
      <c r="E823" s="64">
        <f t="shared" si="62"/>
        <v>286.00699292150182</v>
      </c>
      <c r="F823" s="62" t="str">
        <f t="shared" si="63"/>
        <v/>
      </c>
    </row>
    <row r="824" spans="1:6">
      <c r="A824" s="60">
        <v>81900</v>
      </c>
      <c r="B824" s="60">
        <f t="shared" si="61"/>
        <v>2861818</v>
      </c>
      <c r="C824" s="60">
        <f t="shared" si="64"/>
        <v>2861818</v>
      </c>
      <c r="D824" s="61">
        <f t="shared" si="60"/>
        <v>1</v>
      </c>
      <c r="E824" s="64">
        <f t="shared" si="62"/>
        <v>286.18176042508367</v>
      </c>
      <c r="F824" s="62" t="str">
        <f t="shared" si="63"/>
        <v/>
      </c>
    </row>
    <row r="825" spans="1:6">
      <c r="A825" s="60">
        <v>82000</v>
      </c>
      <c r="B825" s="60">
        <f t="shared" si="61"/>
        <v>2863564</v>
      </c>
      <c r="C825" s="60">
        <f t="shared" si="64"/>
        <v>2863564</v>
      </c>
      <c r="D825" s="61">
        <f t="shared" si="60"/>
        <v>1</v>
      </c>
      <c r="E825" s="64">
        <f t="shared" si="62"/>
        <v>286.35642126552705</v>
      </c>
      <c r="F825" s="62" t="str">
        <f t="shared" si="63"/>
        <v/>
      </c>
    </row>
    <row r="826" spans="1:6">
      <c r="A826" s="60">
        <v>82100</v>
      </c>
      <c r="B826" s="60">
        <f t="shared" si="61"/>
        <v>2865310</v>
      </c>
      <c r="C826" s="60">
        <f t="shared" si="64"/>
        <v>2865310</v>
      </c>
      <c r="D826" s="61">
        <f t="shared" si="60"/>
        <v>1</v>
      </c>
      <c r="E826" s="64">
        <f t="shared" si="62"/>
        <v>286.53097563788805</v>
      </c>
      <c r="F826" s="62" t="str">
        <f t="shared" si="63"/>
        <v/>
      </c>
    </row>
    <row r="827" spans="1:6">
      <c r="A827" s="60">
        <v>82200</v>
      </c>
      <c r="B827" s="60">
        <f t="shared" si="61"/>
        <v>2867054</v>
      </c>
      <c r="C827" s="60">
        <f t="shared" si="64"/>
        <v>2867054</v>
      </c>
      <c r="D827" s="61">
        <f t="shared" si="60"/>
        <v>1</v>
      </c>
      <c r="E827" s="64">
        <f t="shared" si="62"/>
        <v>286.70542373662903</v>
      </c>
      <c r="F827" s="62" t="str">
        <f t="shared" si="63"/>
        <v/>
      </c>
    </row>
    <row r="828" spans="1:6">
      <c r="A828" s="60">
        <v>82300</v>
      </c>
      <c r="B828" s="60">
        <f t="shared" si="61"/>
        <v>2868798</v>
      </c>
      <c r="C828" s="60">
        <f t="shared" si="64"/>
        <v>2868798</v>
      </c>
      <c r="D828" s="61">
        <f t="shared" si="60"/>
        <v>1</v>
      </c>
      <c r="E828" s="64">
        <f t="shared" si="62"/>
        <v>286.87976575562107</v>
      </c>
      <c r="F828" s="62" t="str">
        <f t="shared" si="63"/>
        <v/>
      </c>
    </row>
    <row r="829" spans="1:6">
      <c r="A829" s="60">
        <v>82400</v>
      </c>
      <c r="B829" s="60">
        <f t="shared" si="61"/>
        <v>2870540</v>
      </c>
      <c r="C829" s="60">
        <f t="shared" si="64"/>
        <v>2870540</v>
      </c>
      <c r="D829" s="61">
        <f t="shared" si="60"/>
        <v>1</v>
      </c>
      <c r="E829" s="64">
        <f t="shared" si="62"/>
        <v>287.0540018881465</v>
      </c>
      <c r="F829" s="62" t="str">
        <f t="shared" si="63"/>
        <v/>
      </c>
    </row>
    <row r="830" spans="1:6">
      <c r="A830" s="60">
        <v>82500</v>
      </c>
      <c r="B830" s="60">
        <f t="shared" si="61"/>
        <v>2872281</v>
      </c>
      <c r="C830" s="60">
        <f t="shared" si="64"/>
        <v>2872281</v>
      </c>
      <c r="D830" s="61">
        <f t="shared" si="60"/>
        <v>1</v>
      </c>
      <c r="E830" s="64">
        <f t="shared" si="62"/>
        <v>287.22813232690146</v>
      </c>
      <c r="F830" s="62" t="str">
        <f t="shared" si="63"/>
        <v/>
      </c>
    </row>
    <row r="831" spans="1:6">
      <c r="A831" s="60">
        <v>82600</v>
      </c>
      <c r="B831" s="60">
        <f t="shared" si="61"/>
        <v>2874022</v>
      </c>
      <c r="C831" s="60">
        <f t="shared" si="64"/>
        <v>2874022</v>
      </c>
      <c r="D831" s="61">
        <f t="shared" si="60"/>
        <v>1</v>
      </c>
      <c r="E831" s="64">
        <f t="shared" si="62"/>
        <v>287.40215726399828</v>
      </c>
      <c r="F831" s="62" t="str">
        <f t="shared" si="63"/>
        <v/>
      </c>
    </row>
    <row r="832" spans="1:6">
      <c r="A832" s="60">
        <v>82700</v>
      </c>
      <c r="B832" s="60">
        <f t="shared" si="61"/>
        <v>2875761</v>
      </c>
      <c r="C832" s="60">
        <f t="shared" si="64"/>
        <v>2875761</v>
      </c>
      <c r="D832" s="61">
        <f t="shared" si="60"/>
        <v>1</v>
      </c>
      <c r="E832" s="64">
        <f t="shared" si="62"/>
        <v>287.57607689096812</v>
      </c>
      <c r="F832" s="62" t="str">
        <f t="shared" si="63"/>
        <v/>
      </c>
    </row>
    <row r="833" spans="1:6">
      <c r="A833" s="60">
        <v>82800</v>
      </c>
      <c r="B833" s="60">
        <f t="shared" si="61"/>
        <v>2877499</v>
      </c>
      <c r="C833" s="60">
        <f t="shared" si="64"/>
        <v>2877499</v>
      </c>
      <c r="D833" s="61">
        <f t="shared" si="60"/>
        <v>1</v>
      </c>
      <c r="E833" s="64">
        <f t="shared" si="62"/>
        <v>287.74989139876317</v>
      </c>
      <c r="F833" s="62" t="str">
        <f t="shared" si="63"/>
        <v/>
      </c>
    </row>
    <row r="834" spans="1:6">
      <c r="A834" s="60">
        <v>82900</v>
      </c>
      <c r="B834" s="60">
        <f t="shared" si="61"/>
        <v>2879236</v>
      </c>
      <c r="C834" s="60">
        <f t="shared" si="64"/>
        <v>2879236</v>
      </c>
      <c r="D834" s="61">
        <f t="shared" si="60"/>
        <v>1</v>
      </c>
      <c r="E834" s="64">
        <f t="shared" si="62"/>
        <v>287.92360097775935</v>
      </c>
      <c r="F834" s="62" t="str">
        <f t="shared" si="63"/>
        <v/>
      </c>
    </row>
    <row r="835" spans="1:6">
      <c r="A835" s="60">
        <v>83000</v>
      </c>
      <c r="B835" s="60">
        <f t="shared" si="61"/>
        <v>2880972</v>
      </c>
      <c r="C835" s="60">
        <f t="shared" si="64"/>
        <v>2880972</v>
      </c>
      <c r="D835" s="61">
        <f t="shared" si="60"/>
        <v>1</v>
      </c>
      <c r="E835" s="64">
        <f t="shared" si="62"/>
        <v>288.09720581775866</v>
      </c>
      <c r="F835" s="62" t="str">
        <f t="shared" si="63"/>
        <v/>
      </c>
    </row>
    <row r="836" spans="1:6">
      <c r="A836" s="60">
        <v>83100</v>
      </c>
      <c r="B836" s="60">
        <f t="shared" si="61"/>
        <v>2882707</v>
      </c>
      <c r="C836" s="60">
        <f t="shared" si="64"/>
        <v>2882707</v>
      </c>
      <c r="D836" s="61">
        <f t="shared" si="60"/>
        <v>1</v>
      </c>
      <c r="E836" s="64">
        <f t="shared" si="62"/>
        <v>288.27070610799149</v>
      </c>
      <c r="F836" s="62" t="str">
        <f t="shared" si="63"/>
        <v/>
      </c>
    </row>
    <row r="837" spans="1:6">
      <c r="A837" s="60">
        <v>83200</v>
      </c>
      <c r="B837" s="60">
        <f t="shared" si="61"/>
        <v>2884441</v>
      </c>
      <c r="C837" s="60">
        <f t="shared" si="64"/>
        <v>2884441</v>
      </c>
      <c r="D837" s="61">
        <f t="shared" ref="D837:D900" si="65">(A837-INDEX(兵力区间,MATCH(A837,兵力区间,1)))/(INDEX(兵力区间,MATCH(A837,兵力区间,1)+1)-INDEX(兵力区间,MATCH(A837,兵力区间,1)))*((INDEX(兵力调节,MATCH(A837,兵力区间,1)+1,2)-INDEX(兵力调节,MATCH(A837,兵力区间,1),2)))+INDEX(兵力调节,MATCH(A837,兵力区间,1),2)</f>
        <v>1</v>
      </c>
      <c r="E837" s="64">
        <f t="shared" si="62"/>
        <v>288.44410203711914</v>
      </c>
      <c r="F837" s="62" t="str">
        <f t="shared" si="63"/>
        <v/>
      </c>
    </row>
    <row r="838" spans="1:6">
      <c r="A838" s="60">
        <v>83300</v>
      </c>
      <c r="B838" s="60">
        <f t="shared" si="61"/>
        <v>2886174</v>
      </c>
      <c r="C838" s="60">
        <f t="shared" si="64"/>
        <v>2886174</v>
      </c>
      <c r="D838" s="61">
        <f t="shared" si="65"/>
        <v>1</v>
      </c>
      <c r="E838" s="64">
        <f t="shared" si="62"/>
        <v>288.61739379323626</v>
      </c>
      <c r="F838" s="62" t="str">
        <f t="shared" si="63"/>
        <v/>
      </c>
    </row>
    <row r="839" spans="1:6">
      <c r="A839" s="60">
        <v>83400</v>
      </c>
      <c r="B839" s="60">
        <f t="shared" ref="B839:B902" si="66">ROUND(D839*E839*10000,0)</f>
        <v>2887906</v>
      </c>
      <c r="C839" s="60">
        <f t="shared" si="64"/>
        <v>2887906</v>
      </c>
      <c r="D839" s="61">
        <f t="shared" si="65"/>
        <v>1</v>
      </c>
      <c r="E839" s="64">
        <f t="shared" ref="E839:E902" si="67">A839^0.5</f>
        <v>288.79058156387305</v>
      </c>
      <c r="F839" s="62" t="str">
        <f t="shared" si="63"/>
        <v/>
      </c>
    </row>
    <row r="840" spans="1:6">
      <c r="A840" s="60">
        <v>83500</v>
      </c>
      <c r="B840" s="60">
        <f t="shared" si="66"/>
        <v>2889637</v>
      </c>
      <c r="C840" s="60">
        <f t="shared" si="64"/>
        <v>2889637</v>
      </c>
      <c r="D840" s="61">
        <f t="shared" si="65"/>
        <v>1</v>
      </c>
      <c r="E840" s="64">
        <f t="shared" si="67"/>
        <v>288.96366553599779</v>
      </c>
      <c r="F840" s="62" t="str">
        <f t="shared" ref="F840:F903" si="68">IF(B840&lt;B839,1,"")</f>
        <v/>
      </c>
    </row>
    <row r="841" spans="1:6">
      <c r="A841" s="60">
        <v>83600</v>
      </c>
      <c r="B841" s="60">
        <f t="shared" si="66"/>
        <v>2891366</v>
      </c>
      <c r="C841" s="60">
        <f t="shared" si="64"/>
        <v>2891366</v>
      </c>
      <c r="D841" s="61">
        <f t="shared" si="65"/>
        <v>1</v>
      </c>
      <c r="E841" s="64">
        <f t="shared" si="67"/>
        <v>289.13664589601922</v>
      </c>
      <c r="F841" s="62" t="str">
        <f t="shared" si="68"/>
        <v/>
      </c>
    </row>
    <row r="842" spans="1:6">
      <c r="A842" s="60">
        <v>83700</v>
      </c>
      <c r="B842" s="60">
        <f t="shared" si="66"/>
        <v>2893095</v>
      </c>
      <c r="C842" s="60">
        <f t="shared" si="64"/>
        <v>2893095</v>
      </c>
      <c r="D842" s="61">
        <f t="shared" si="65"/>
        <v>1</v>
      </c>
      <c r="E842" s="64">
        <f t="shared" si="67"/>
        <v>289.30952282978865</v>
      </c>
      <c r="F842" s="62" t="str">
        <f t="shared" si="68"/>
        <v/>
      </c>
    </row>
    <row r="843" spans="1:6">
      <c r="A843" s="60">
        <v>83800</v>
      </c>
      <c r="B843" s="60">
        <f t="shared" si="66"/>
        <v>2894823</v>
      </c>
      <c r="C843" s="60">
        <f t="shared" ref="C843:C906" si="69">ROUND(D843*E843*10000,0)</f>
        <v>2894823</v>
      </c>
      <c r="D843" s="61">
        <f t="shared" si="65"/>
        <v>1</v>
      </c>
      <c r="E843" s="64">
        <f t="shared" si="67"/>
        <v>289.48229652260255</v>
      </c>
      <c r="F843" s="62" t="str">
        <f t="shared" si="68"/>
        <v/>
      </c>
    </row>
    <row r="844" spans="1:6">
      <c r="A844" s="60">
        <v>83900</v>
      </c>
      <c r="B844" s="60">
        <f t="shared" si="66"/>
        <v>2896550</v>
      </c>
      <c r="C844" s="60">
        <f t="shared" si="69"/>
        <v>2896550</v>
      </c>
      <c r="D844" s="61">
        <f t="shared" si="65"/>
        <v>1</v>
      </c>
      <c r="E844" s="64">
        <f t="shared" si="67"/>
        <v>289.65496715920477</v>
      </c>
      <c r="F844" s="62" t="str">
        <f t="shared" si="68"/>
        <v/>
      </c>
    </row>
    <row r="845" spans="1:6">
      <c r="A845" s="60">
        <v>84000</v>
      </c>
      <c r="B845" s="60">
        <f t="shared" si="66"/>
        <v>2898275</v>
      </c>
      <c r="C845" s="60">
        <f t="shared" si="69"/>
        <v>2898275</v>
      </c>
      <c r="D845" s="61">
        <f t="shared" si="65"/>
        <v>1</v>
      </c>
      <c r="E845" s="64">
        <f t="shared" si="67"/>
        <v>289.82753492378879</v>
      </c>
      <c r="F845" s="62" t="str">
        <f t="shared" si="68"/>
        <v/>
      </c>
    </row>
    <row r="846" spans="1:6">
      <c r="A846" s="60">
        <v>84100</v>
      </c>
      <c r="B846" s="60">
        <f t="shared" si="66"/>
        <v>2900000</v>
      </c>
      <c r="C846" s="60">
        <f t="shared" si="69"/>
        <v>2900000</v>
      </c>
      <c r="D846" s="61">
        <f t="shared" si="65"/>
        <v>1</v>
      </c>
      <c r="E846" s="64">
        <f t="shared" si="67"/>
        <v>290</v>
      </c>
      <c r="F846" s="62" t="str">
        <f t="shared" si="68"/>
        <v/>
      </c>
    </row>
    <row r="847" spans="1:6">
      <c r="A847" s="60">
        <v>84200</v>
      </c>
      <c r="B847" s="60">
        <f t="shared" si="66"/>
        <v>2901724</v>
      </c>
      <c r="C847" s="60">
        <f t="shared" si="69"/>
        <v>2901724</v>
      </c>
      <c r="D847" s="61">
        <f t="shared" si="65"/>
        <v>1</v>
      </c>
      <c r="E847" s="64">
        <f t="shared" si="67"/>
        <v>290.17236257093816</v>
      </c>
      <c r="F847" s="62" t="str">
        <f t="shared" si="68"/>
        <v/>
      </c>
    </row>
    <row r="848" spans="1:6">
      <c r="A848" s="60">
        <v>84300</v>
      </c>
      <c r="B848" s="60">
        <f t="shared" si="66"/>
        <v>2903446</v>
      </c>
      <c r="C848" s="60">
        <f t="shared" si="69"/>
        <v>2903446</v>
      </c>
      <c r="D848" s="61">
        <f t="shared" si="65"/>
        <v>1</v>
      </c>
      <c r="E848" s="64">
        <f t="shared" si="67"/>
        <v>290.3446228191595</v>
      </c>
      <c r="F848" s="62" t="str">
        <f t="shared" si="68"/>
        <v/>
      </c>
    </row>
    <row r="849" spans="1:6">
      <c r="A849" s="60">
        <v>84400</v>
      </c>
      <c r="B849" s="60">
        <f t="shared" si="66"/>
        <v>2905168</v>
      </c>
      <c r="C849" s="60">
        <f t="shared" si="69"/>
        <v>2905168</v>
      </c>
      <c r="D849" s="61">
        <f t="shared" si="65"/>
        <v>1</v>
      </c>
      <c r="E849" s="64">
        <f t="shared" si="67"/>
        <v>290.51678092667902</v>
      </c>
      <c r="F849" s="62" t="str">
        <f t="shared" si="68"/>
        <v/>
      </c>
    </row>
    <row r="850" spans="1:6">
      <c r="A850" s="60">
        <v>84500</v>
      </c>
      <c r="B850" s="60">
        <f t="shared" si="66"/>
        <v>2906888</v>
      </c>
      <c r="C850" s="60">
        <f t="shared" si="69"/>
        <v>2906888</v>
      </c>
      <c r="D850" s="61">
        <f t="shared" si="65"/>
        <v>1</v>
      </c>
      <c r="E850" s="64">
        <f t="shared" si="67"/>
        <v>290.68883707497264</v>
      </c>
      <c r="F850" s="62" t="str">
        <f t="shared" si="68"/>
        <v/>
      </c>
    </row>
    <row r="851" spans="1:6">
      <c r="A851" s="60">
        <v>84600</v>
      </c>
      <c r="B851" s="60">
        <f t="shared" si="66"/>
        <v>2908608</v>
      </c>
      <c r="C851" s="60">
        <f t="shared" si="69"/>
        <v>2908608</v>
      </c>
      <c r="D851" s="61">
        <f t="shared" si="65"/>
        <v>1</v>
      </c>
      <c r="E851" s="64">
        <f t="shared" si="67"/>
        <v>290.86079144497972</v>
      </c>
      <c r="F851" s="62" t="str">
        <f t="shared" si="68"/>
        <v/>
      </c>
    </row>
    <row r="852" spans="1:6">
      <c r="A852" s="60">
        <v>84700</v>
      </c>
      <c r="B852" s="60">
        <f t="shared" si="66"/>
        <v>2910326</v>
      </c>
      <c r="C852" s="60">
        <f t="shared" si="69"/>
        <v>2910326</v>
      </c>
      <c r="D852" s="61">
        <f t="shared" si="65"/>
        <v>1</v>
      </c>
      <c r="E852" s="64">
        <f t="shared" si="67"/>
        <v>291.03264421710497</v>
      </c>
      <c r="F852" s="62" t="str">
        <f t="shared" si="68"/>
        <v/>
      </c>
    </row>
    <row r="853" spans="1:6">
      <c r="A853" s="60">
        <v>84800</v>
      </c>
      <c r="B853" s="60">
        <f t="shared" si="66"/>
        <v>2912044</v>
      </c>
      <c r="C853" s="60">
        <f t="shared" si="69"/>
        <v>2912044</v>
      </c>
      <c r="D853" s="61">
        <f t="shared" si="65"/>
        <v>1</v>
      </c>
      <c r="E853" s="64">
        <f t="shared" si="67"/>
        <v>291.20439557122074</v>
      </c>
      <c r="F853" s="62" t="str">
        <f t="shared" si="68"/>
        <v/>
      </c>
    </row>
    <row r="854" spans="1:6">
      <c r="A854" s="60">
        <v>84900</v>
      </c>
      <c r="B854" s="60">
        <f t="shared" si="66"/>
        <v>2913760</v>
      </c>
      <c r="C854" s="60">
        <f t="shared" si="69"/>
        <v>2913760</v>
      </c>
      <c r="D854" s="61">
        <f t="shared" si="65"/>
        <v>1</v>
      </c>
      <c r="E854" s="64">
        <f t="shared" si="67"/>
        <v>291.37604568666933</v>
      </c>
      <c r="F854" s="62" t="str">
        <f t="shared" si="68"/>
        <v/>
      </c>
    </row>
    <row r="855" spans="1:6">
      <c r="A855" s="60">
        <v>85000</v>
      </c>
      <c r="B855" s="60">
        <f t="shared" si="66"/>
        <v>2915476</v>
      </c>
      <c r="C855" s="60">
        <f t="shared" si="69"/>
        <v>2915476</v>
      </c>
      <c r="D855" s="61">
        <f t="shared" si="65"/>
        <v>1</v>
      </c>
      <c r="E855" s="64">
        <f t="shared" si="67"/>
        <v>291.54759474226501</v>
      </c>
      <c r="F855" s="62" t="str">
        <f t="shared" si="68"/>
        <v/>
      </c>
    </row>
    <row r="856" spans="1:6">
      <c r="A856" s="60">
        <v>85100</v>
      </c>
      <c r="B856" s="60">
        <f t="shared" si="66"/>
        <v>2917190</v>
      </c>
      <c r="C856" s="60">
        <f t="shared" si="69"/>
        <v>2917190</v>
      </c>
      <c r="D856" s="61">
        <f t="shared" si="65"/>
        <v>1</v>
      </c>
      <c r="E856" s="64">
        <f t="shared" si="67"/>
        <v>291.71904291629642</v>
      </c>
      <c r="F856" s="62" t="str">
        <f t="shared" si="68"/>
        <v/>
      </c>
    </row>
    <row r="857" spans="1:6">
      <c r="A857" s="60">
        <v>85200</v>
      </c>
      <c r="B857" s="60">
        <f t="shared" si="66"/>
        <v>2918904</v>
      </c>
      <c r="C857" s="60">
        <f t="shared" si="69"/>
        <v>2918904</v>
      </c>
      <c r="D857" s="61">
        <f t="shared" si="65"/>
        <v>1</v>
      </c>
      <c r="E857" s="64">
        <f t="shared" si="67"/>
        <v>291.89039038652851</v>
      </c>
      <c r="F857" s="62" t="str">
        <f t="shared" si="68"/>
        <v/>
      </c>
    </row>
    <row r="858" spans="1:6">
      <c r="A858" s="60">
        <v>85300</v>
      </c>
      <c r="B858" s="60">
        <f t="shared" si="66"/>
        <v>2920616</v>
      </c>
      <c r="C858" s="60">
        <f t="shared" si="69"/>
        <v>2920616</v>
      </c>
      <c r="D858" s="61">
        <f t="shared" si="65"/>
        <v>1</v>
      </c>
      <c r="E858" s="64">
        <f t="shared" si="67"/>
        <v>292.06163733020469</v>
      </c>
      <c r="F858" s="62" t="str">
        <f t="shared" si="68"/>
        <v/>
      </c>
    </row>
    <row r="859" spans="1:6">
      <c r="A859" s="60">
        <v>85400</v>
      </c>
      <c r="B859" s="60">
        <f t="shared" si="66"/>
        <v>2922328</v>
      </c>
      <c r="C859" s="60">
        <f t="shared" si="69"/>
        <v>2922328</v>
      </c>
      <c r="D859" s="61">
        <f t="shared" si="65"/>
        <v>1</v>
      </c>
      <c r="E859" s="64">
        <f t="shared" si="67"/>
        <v>292.23278392404916</v>
      </c>
      <c r="F859" s="62" t="str">
        <f t="shared" si="68"/>
        <v/>
      </c>
    </row>
    <row r="860" spans="1:6">
      <c r="A860" s="60">
        <v>85500</v>
      </c>
      <c r="B860" s="60">
        <f t="shared" si="66"/>
        <v>2924038</v>
      </c>
      <c r="C860" s="60">
        <f t="shared" si="69"/>
        <v>2924038</v>
      </c>
      <c r="D860" s="61">
        <f t="shared" si="65"/>
        <v>1</v>
      </c>
      <c r="E860" s="64">
        <f t="shared" si="67"/>
        <v>292.4038303442689</v>
      </c>
      <c r="F860" s="62" t="str">
        <f t="shared" si="68"/>
        <v/>
      </c>
    </row>
    <row r="861" spans="1:6">
      <c r="A861" s="60">
        <v>85600</v>
      </c>
      <c r="B861" s="60">
        <f t="shared" si="66"/>
        <v>2925748</v>
      </c>
      <c r="C861" s="60">
        <f t="shared" si="69"/>
        <v>2925748</v>
      </c>
      <c r="D861" s="61">
        <f t="shared" si="65"/>
        <v>1</v>
      </c>
      <c r="E861" s="64">
        <f t="shared" si="67"/>
        <v>292.57477676655589</v>
      </c>
      <c r="F861" s="62" t="str">
        <f t="shared" si="68"/>
        <v/>
      </c>
    </row>
    <row r="862" spans="1:6">
      <c r="A862" s="60">
        <v>85700</v>
      </c>
      <c r="B862" s="60">
        <f t="shared" si="66"/>
        <v>2927456</v>
      </c>
      <c r="C862" s="60">
        <f t="shared" si="69"/>
        <v>2927456</v>
      </c>
      <c r="D862" s="61">
        <f t="shared" si="65"/>
        <v>1</v>
      </c>
      <c r="E862" s="64">
        <f t="shared" si="67"/>
        <v>292.74562336608892</v>
      </c>
      <c r="F862" s="62" t="str">
        <f t="shared" si="68"/>
        <v/>
      </c>
    </row>
    <row r="863" spans="1:6">
      <c r="A863" s="60">
        <v>85800</v>
      </c>
      <c r="B863" s="60">
        <f t="shared" si="66"/>
        <v>2929164</v>
      </c>
      <c r="C863" s="60">
        <f t="shared" si="69"/>
        <v>2929164</v>
      </c>
      <c r="D863" s="61">
        <f t="shared" si="65"/>
        <v>1</v>
      </c>
      <c r="E863" s="64">
        <f t="shared" si="67"/>
        <v>292.91637031753618</v>
      </c>
      <c r="F863" s="62" t="str">
        <f t="shared" si="68"/>
        <v/>
      </c>
    </row>
    <row r="864" spans="1:6">
      <c r="A864" s="60">
        <v>85900</v>
      </c>
      <c r="B864" s="60">
        <f t="shared" si="66"/>
        <v>2930870</v>
      </c>
      <c r="C864" s="60">
        <f t="shared" si="69"/>
        <v>2930870</v>
      </c>
      <c r="D864" s="61">
        <f t="shared" si="65"/>
        <v>1</v>
      </c>
      <c r="E864" s="64">
        <f t="shared" si="67"/>
        <v>293.08701779505691</v>
      </c>
      <c r="F864" s="62" t="str">
        <f t="shared" si="68"/>
        <v/>
      </c>
    </row>
    <row r="865" spans="1:6">
      <c r="A865" s="60">
        <v>86000</v>
      </c>
      <c r="B865" s="60">
        <f t="shared" si="66"/>
        <v>2932576</v>
      </c>
      <c r="C865" s="60">
        <f t="shared" si="69"/>
        <v>2932576</v>
      </c>
      <c r="D865" s="61">
        <f t="shared" si="65"/>
        <v>1</v>
      </c>
      <c r="E865" s="64">
        <f t="shared" si="67"/>
        <v>293.25756597230361</v>
      </c>
      <c r="F865" s="62" t="str">
        <f t="shared" si="68"/>
        <v/>
      </c>
    </row>
    <row r="866" spans="1:6">
      <c r="A866" s="60">
        <v>86100</v>
      </c>
      <c r="B866" s="60">
        <f t="shared" si="66"/>
        <v>2934280</v>
      </c>
      <c r="C866" s="60">
        <f t="shared" si="69"/>
        <v>2934280</v>
      </c>
      <c r="D866" s="61">
        <f t="shared" si="65"/>
        <v>1</v>
      </c>
      <c r="E866" s="64">
        <f t="shared" si="67"/>
        <v>293.42801502242418</v>
      </c>
      <c r="F866" s="62" t="str">
        <f t="shared" si="68"/>
        <v/>
      </c>
    </row>
    <row r="867" spans="1:6">
      <c r="A867" s="60">
        <v>86200</v>
      </c>
      <c r="B867" s="60">
        <f t="shared" si="66"/>
        <v>2935984</v>
      </c>
      <c r="C867" s="60">
        <f t="shared" si="69"/>
        <v>2935984</v>
      </c>
      <c r="D867" s="61">
        <f t="shared" si="65"/>
        <v>1</v>
      </c>
      <c r="E867" s="64">
        <f t="shared" si="67"/>
        <v>293.59836511806395</v>
      </c>
      <c r="F867" s="62" t="str">
        <f t="shared" si="68"/>
        <v/>
      </c>
    </row>
    <row r="868" spans="1:6">
      <c r="A868" s="60">
        <v>86300</v>
      </c>
      <c r="B868" s="60">
        <f t="shared" si="66"/>
        <v>2937686</v>
      </c>
      <c r="C868" s="60">
        <f t="shared" si="69"/>
        <v>2937686</v>
      </c>
      <c r="D868" s="61">
        <f t="shared" si="65"/>
        <v>1</v>
      </c>
      <c r="E868" s="64">
        <f t="shared" si="67"/>
        <v>293.7686164313676</v>
      </c>
      <c r="F868" s="62" t="str">
        <f t="shared" si="68"/>
        <v/>
      </c>
    </row>
    <row r="869" spans="1:6">
      <c r="A869" s="60">
        <v>86400</v>
      </c>
      <c r="B869" s="60">
        <f t="shared" si="66"/>
        <v>2939388</v>
      </c>
      <c r="C869" s="60">
        <f t="shared" si="69"/>
        <v>2939388</v>
      </c>
      <c r="D869" s="61">
        <f t="shared" si="65"/>
        <v>1</v>
      </c>
      <c r="E869" s="64">
        <f t="shared" si="67"/>
        <v>293.9387691339814</v>
      </c>
      <c r="F869" s="62" t="str">
        <f t="shared" si="68"/>
        <v/>
      </c>
    </row>
    <row r="870" spans="1:6">
      <c r="A870" s="60">
        <v>86500</v>
      </c>
      <c r="B870" s="60">
        <f t="shared" si="66"/>
        <v>2941088</v>
      </c>
      <c r="C870" s="60">
        <f t="shared" si="69"/>
        <v>2941088</v>
      </c>
      <c r="D870" s="61">
        <f t="shared" si="65"/>
        <v>1</v>
      </c>
      <c r="E870" s="64">
        <f t="shared" si="67"/>
        <v>294.10882339705483</v>
      </c>
      <c r="F870" s="62" t="str">
        <f t="shared" si="68"/>
        <v/>
      </c>
    </row>
    <row r="871" spans="1:6">
      <c r="A871" s="60">
        <v>86600</v>
      </c>
      <c r="B871" s="60">
        <f t="shared" si="66"/>
        <v>2942788</v>
      </c>
      <c r="C871" s="60">
        <f t="shared" si="69"/>
        <v>2942788</v>
      </c>
      <c r="D871" s="61">
        <f t="shared" si="65"/>
        <v>1</v>
      </c>
      <c r="E871" s="64">
        <f t="shared" si="67"/>
        <v>294.27877939124323</v>
      </c>
      <c r="F871" s="62" t="str">
        <f t="shared" si="68"/>
        <v/>
      </c>
    </row>
    <row r="872" spans="1:6">
      <c r="A872" s="60">
        <v>86700</v>
      </c>
      <c r="B872" s="60">
        <f t="shared" si="66"/>
        <v>2944486</v>
      </c>
      <c r="C872" s="60">
        <f t="shared" si="69"/>
        <v>2944486</v>
      </c>
      <c r="D872" s="61">
        <f t="shared" si="65"/>
        <v>1</v>
      </c>
      <c r="E872" s="64">
        <f t="shared" si="67"/>
        <v>294.44863728670913</v>
      </c>
      <c r="F872" s="62" t="str">
        <f t="shared" si="68"/>
        <v/>
      </c>
    </row>
    <row r="873" spans="1:6">
      <c r="A873" s="60">
        <v>86800</v>
      </c>
      <c r="B873" s="60">
        <f t="shared" si="66"/>
        <v>2946184</v>
      </c>
      <c r="C873" s="60">
        <f t="shared" si="69"/>
        <v>2946184</v>
      </c>
      <c r="D873" s="61">
        <f t="shared" si="65"/>
        <v>1</v>
      </c>
      <c r="E873" s="64">
        <f t="shared" si="67"/>
        <v>294.61839725312473</v>
      </c>
      <c r="F873" s="62" t="str">
        <f t="shared" si="68"/>
        <v/>
      </c>
    </row>
    <row r="874" spans="1:6">
      <c r="A874" s="60">
        <v>86900</v>
      </c>
      <c r="B874" s="60">
        <f t="shared" si="66"/>
        <v>2947881</v>
      </c>
      <c r="C874" s="60">
        <f t="shared" si="69"/>
        <v>2947881</v>
      </c>
      <c r="D874" s="61">
        <f t="shared" si="65"/>
        <v>1</v>
      </c>
      <c r="E874" s="64">
        <f t="shared" si="67"/>
        <v>294.78805945967349</v>
      </c>
      <c r="F874" s="62" t="str">
        <f t="shared" si="68"/>
        <v/>
      </c>
    </row>
    <row r="875" spans="1:6">
      <c r="A875" s="60">
        <v>87000</v>
      </c>
      <c r="B875" s="60">
        <f t="shared" si="66"/>
        <v>2949576</v>
      </c>
      <c r="C875" s="60">
        <f t="shared" si="69"/>
        <v>2949576</v>
      </c>
      <c r="D875" s="61">
        <f t="shared" si="65"/>
        <v>1</v>
      </c>
      <c r="E875" s="64">
        <f t="shared" si="67"/>
        <v>294.95762407505254</v>
      </c>
      <c r="F875" s="62" t="str">
        <f t="shared" si="68"/>
        <v/>
      </c>
    </row>
    <row r="876" spans="1:6">
      <c r="A876" s="60">
        <v>87100</v>
      </c>
      <c r="B876" s="60">
        <f t="shared" si="66"/>
        <v>2951271</v>
      </c>
      <c r="C876" s="60">
        <f t="shared" si="69"/>
        <v>2951271</v>
      </c>
      <c r="D876" s="61">
        <f t="shared" si="65"/>
        <v>1</v>
      </c>
      <c r="E876" s="64">
        <f t="shared" si="67"/>
        <v>295.1270912674741</v>
      </c>
      <c r="F876" s="62" t="str">
        <f t="shared" si="68"/>
        <v/>
      </c>
    </row>
    <row r="877" spans="1:6">
      <c r="A877" s="60">
        <v>87200</v>
      </c>
      <c r="B877" s="60">
        <f t="shared" si="66"/>
        <v>2952965</v>
      </c>
      <c r="C877" s="60">
        <f t="shared" si="69"/>
        <v>2952965</v>
      </c>
      <c r="D877" s="61">
        <f t="shared" si="65"/>
        <v>1</v>
      </c>
      <c r="E877" s="64">
        <f t="shared" si="67"/>
        <v>295.29646120466799</v>
      </c>
      <c r="F877" s="62" t="str">
        <f t="shared" si="68"/>
        <v/>
      </c>
    </row>
    <row r="878" spans="1:6">
      <c r="A878" s="60">
        <v>87300</v>
      </c>
      <c r="B878" s="60">
        <f t="shared" si="66"/>
        <v>2954657</v>
      </c>
      <c r="C878" s="60">
        <f t="shared" si="69"/>
        <v>2954657</v>
      </c>
      <c r="D878" s="61">
        <f t="shared" si="65"/>
        <v>1</v>
      </c>
      <c r="E878" s="64">
        <f t="shared" si="67"/>
        <v>295.46573405388312</v>
      </c>
      <c r="F878" s="62" t="str">
        <f t="shared" si="68"/>
        <v/>
      </c>
    </row>
    <row r="879" spans="1:6">
      <c r="A879" s="60">
        <v>87400</v>
      </c>
      <c r="B879" s="60">
        <f t="shared" si="66"/>
        <v>2956349</v>
      </c>
      <c r="C879" s="60">
        <f t="shared" si="69"/>
        <v>2956349</v>
      </c>
      <c r="D879" s="61">
        <f t="shared" si="65"/>
        <v>1</v>
      </c>
      <c r="E879" s="64">
        <f t="shared" si="67"/>
        <v>295.63490998188968</v>
      </c>
      <c r="F879" s="62" t="str">
        <f t="shared" si="68"/>
        <v/>
      </c>
    </row>
    <row r="880" spans="1:6">
      <c r="A880" s="60">
        <v>87500</v>
      </c>
      <c r="B880" s="60">
        <f t="shared" si="66"/>
        <v>2958040</v>
      </c>
      <c r="C880" s="60">
        <f t="shared" si="69"/>
        <v>2958040</v>
      </c>
      <c r="D880" s="61">
        <f t="shared" si="65"/>
        <v>1</v>
      </c>
      <c r="E880" s="64">
        <f t="shared" si="67"/>
        <v>295.8039891549808</v>
      </c>
      <c r="F880" s="62" t="str">
        <f t="shared" si="68"/>
        <v/>
      </c>
    </row>
    <row r="881" spans="1:6">
      <c r="A881" s="60">
        <v>87600</v>
      </c>
      <c r="B881" s="60">
        <f t="shared" si="66"/>
        <v>2959730</v>
      </c>
      <c r="C881" s="60">
        <f t="shared" si="69"/>
        <v>2959730</v>
      </c>
      <c r="D881" s="61">
        <f t="shared" si="65"/>
        <v>1</v>
      </c>
      <c r="E881" s="64">
        <f t="shared" si="67"/>
        <v>295.97297173897482</v>
      </c>
      <c r="F881" s="62" t="str">
        <f t="shared" si="68"/>
        <v/>
      </c>
    </row>
    <row r="882" spans="1:6">
      <c r="A882" s="60">
        <v>87700</v>
      </c>
      <c r="B882" s="60">
        <f t="shared" si="66"/>
        <v>2961419</v>
      </c>
      <c r="C882" s="60">
        <f t="shared" si="69"/>
        <v>2961419</v>
      </c>
      <c r="D882" s="61">
        <f t="shared" si="65"/>
        <v>1</v>
      </c>
      <c r="E882" s="64">
        <f t="shared" si="67"/>
        <v>296.14185789921692</v>
      </c>
      <c r="F882" s="62" t="str">
        <f t="shared" si="68"/>
        <v/>
      </c>
    </row>
    <row r="883" spans="1:6">
      <c r="A883" s="60">
        <v>87800</v>
      </c>
      <c r="B883" s="60">
        <f t="shared" si="66"/>
        <v>2963106</v>
      </c>
      <c r="C883" s="60">
        <f t="shared" si="69"/>
        <v>2963106</v>
      </c>
      <c r="D883" s="61">
        <f t="shared" si="65"/>
        <v>1</v>
      </c>
      <c r="E883" s="64">
        <f t="shared" si="67"/>
        <v>296.31064780058108</v>
      </c>
      <c r="F883" s="62" t="str">
        <f t="shared" si="68"/>
        <v/>
      </c>
    </row>
    <row r="884" spans="1:6">
      <c r="A884" s="60">
        <v>87900</v>
      </c>
      <c r="B884" s="60">
        <f t="shared" si="66"/>
        <v>2964793</v>
      </c>
      <c r="C884" s="60">
        <f t="shared" si="69"/>
        <v>2964793</v>
      </c>
      <c r="D884" s="61">
        <f t="shared" si="65"/>
        <v>1</v>
      </c>
      <c r="E884" s="64">
        <f t="shared" si="67"/>
        <v>296.47934160747189</v>
      </c>
      <c r="F884" s="62" t="str">
        <f t="shared" si="68"/>
        <v/>
      </c>
    </row>
    <row r="885" spans="1:6">
      <c r="A885" s="60">
        <v>88000</v>
      </c>
      <c r="B885" s="60">
        <f t="shared" si="66"/>
        <v>2966479</v>
      </c>
      <c r="C885" s="60">
        <f t="shared" si="69"/>
        <v>2966479</v>
      </c>
      <c r="D885" s="61">
        <f t="shared" si="65"/>
        <v>1</v>
      </c>
      <c r="E885" s="64">
        <f t="shared" si="67"/>
        <v>296.64793948382652</v>
      </c>
      <c r="F885" s="62" t="str">
        <f t="shared" si="68"/>
        <v/>
      </c>
    </row>
    <row r="886" spans="1:6">
      <c r="A886" s="60">
        <v>88100</v>
      </c>
      <c r="B886" s="60">
        <f t="shared" si="66"/>
        <v>2968164</v>
      </c>
      <c r="C886" s="60">
        <f t="shared" si="69"/>
        <v>2968164</v>
      </c>
      <c r="D886" s="61">
        <f t="shared" si="65"/>
        <v>1</v>
      </c>
      <c r="E886" s="64">
        <f t="shared" si="67"/>
        <v>296.81644159311662</v>
      </c>
      <c r="F886" s="62" t="str">
        <f t="shared" si="68"/>
        <v/>
      </c>
    </row>
    <row r="887" spans="1:6">
      <c r="A887" s="60">
        <v>88200</v>
      </c>
      <c r="B887" s="60">
        <f t="shared" si="66"/>
        <v>2969848</v>
      </c>
      <c r="C887" s="60">
        <f t="shared" si="69"/>
        <v>2969848</v>
      </c>
      <c r="D887" s="61">
        <f t="shared" si="65"/>
        <v>1</v>
      </c>
      <c r="E887" s="64">
        <f t="shared" si="67"/>
        <v>296.98484809834997</v>
      </c>
      <c r="F887" s="62" t="str">
        <f t="shared" si="68"/>
        <v/>
      </c>
    </row>
    <row r="888" spans="1:6">
      <c r="A888" s="60">
        <v>88300</v>
      </c>
      <c r="B888" s="60">
        <f t="shared" si="66"/>
        <v>2971532</v>
      </c>
      <c r="C888" s="60">
        <f t="shared" si="69"/>
        <v>2971532</v>
      </c>
      <c r="D888" s="61">
        <f t="shared" si="65"/>
        <v>1</v>
      </c>
      <c r="E888" s="64">
        <f t="shared" si="67"/>
        <v>297.15315916207254</v>
      </c>
      <c r="F888" s="62" t="str">
        <f t="shared" si="68"/>
        <v/>
      </c>
    </row>
    <row r="889" spans="1:6">
      <c r="A889" s="60">
        <v>88400</v>
      </c>
      <c r="B889" s="60">
        <f t="shared" si="66"/>
        <v>2973214</v>
      </c>
      <c r="C889" s="60">
        <f t="shared" si="69"/>
        <v>2973214</v>
      </c>
      <c r="D889" s="61">
        <f t="shared" si="65"/>
        <v>1</v>
      </c>
      <c r="E889" s="64">
        <f t="shared" si="67"/>
        <v>297.3213749463701</v>
      </c>
      <c r="F889" s="62" t="str">
        <f t="shared" si="68"/>
        <v/>
      </c>
    </row>
    <row r="890" spans="1:6">
      <c r="A890" s="60">
        <v>88500</v>
      </c>
      <c r="B890" s="60">
        <f t="shared" si="66"/>
        <v>2974895</v>
      </c>
      <c r="C890" s="60">
        <f t="shared" si="69"/>
        <v>2974895</v>
      </c>
      <c r="D890" s="61">
        <f t="shared" si="65"/>
        <v>1</v>
      </c>
      <c r="E890" s="64">
        <f t="shared" si="67"/>
        <v>297.48949561287031</v>
      </c>
      <c r="F890" s="62" t="str">
        <f t="shared" si="68"/>
        <v/>
      </c>
    </row>
    <row r="891" spans="1:6">
      <c r="A891" s="60">
        <v>88600</v>
      </c>
      <c r="B891" s="60">
        <f t="shared" si="66"/>
        <v>2976575</v>
      </c>
      <c r="C891" s="60">
        <f t="shared" si="69"/>
        <v>2976575</v>
      </c>
      <c r="D891" s="61">
        <f t="shared" si="65"/>
        <v>1</v>
      </c>
      <c r="E891" s="64">
        <f t="shared" si="67"/>
        <v>297.65752132274434</v>
      </c>
      <c r="F891" s="62" t="str">
        <f t="shared" si="68"/>
        <v/>
      </c>
    </row>
    <row r="892" spans="1:6">
      <c r="A892" s="60">
        <v>88700</v>
      </c>
      <c r="B892" s="60">
        <f t="shared" si="66"/>
        <v>2978255</v>
      </c>
      <c r="C892" s="60">
        <f t="shared" si="69"/>
        <v>2978255</v>
      </c>
      <c r="D892" s="61">
        <f t="shared" si="65"/>
        <v>1</v>
      </c>
      <c r="E892" s="64">
        <f t="shared" si="67"/>
        <v>297.8254522367086</v>
      </c>
      <c r="F892" s="62" t="str">
        <f t="shared" si="68"/>
        <v/>
      </c>
    </row>
    <row r="893" spans="1:6">
      <c r="A893" s="60">
        <v>88800</v>
      </c>
      <c r="B893" s="60">
        <f t="shared" si="66"/>
        <v>2979933</v>
      </c>
      <c r="C893" s="60">
        <f t="shared" si="69"/>
        <v>2979933</v>
      </c>
      <c r="D893" s="61">
        <f t="shared" si="65"/>
        <v>1</v>
      </c>
      <c r="E893" s="64">
        <f t="shared" si="67"/>
        <v>297.99328851502679</v>
      </c>
      <c r="F893" s="62" t="str">
        <f t="shared" si="68"/>
        <v/>
      </c>
    </row>
    <row r="894" spans="1:6">
      <c r="A894" s="60">
        <v>88900</v>
      </c>
      <c r="B894" s="60">
        <f t="shared" si="66"/>
        <v>2981610</v>
      </c>
      <c r="C894" s="60">
        <f t="shared" si="69"/>
        <v>2981610</v>
      </c>
      <c r="D894" s="61">
        <f t="shared" si="65"/>
        <v>1</v>
      </c>
      <c r="E894" s="64">
        <f t="shared" si="67"/>
        <v>298.16103031751146</v>
      </c>
      <c r="F894" s="62" t="str">
        <f t="shared" si="68"/>
        <v/>
      </c>
    </row>
    <row r="895" spans="1:6">
      <c r="A895" s="60">
        <v>89000</v>
      </c>
      <c r="B895" s="60">
        <f t="shared" si="66"/>
        <v>2983287</v>
      </c>
      <c r="C895" s="60">
        <f t="shared" si="69"/>
        <v>2983287</v>
      </c>
      <c r="D895" s="61">
        <f t="shared" si="65"/>
        <v>1</v>
      </c>
      <c r="E895" s="64">
        <f t="shared" si="67"/>
        <v>298.32867780352598</v>
      </c>
      <c r="F895" s="62" t="str">
        <f t="shared" si="68"/>
        <v/>
      </c>
    </row>
    <row r="896" spans="1:6">
      <c r="A896" s="60">
        <v>89100</v>
      </c>
      <c r="B896" s="60">
        <f t="shared" si="66"/>
        <v>2984962</v>
      </c>
      <c r="C896" s="60">
        <f t="shared" si="69"/>
        <v>2984962</v>
      </c>
      <c r="D896" s="61">
        <f t="shared" si="65"/>
        <v>1</v>
      </c>
      <c r="E896" s="64">
        <f t="shared" si="67"/>
        <v>298.49623113198601</v>
      </c>
      <c r="F896" s="62" t="str">
        <f t="shared" si="68"/>
        <v/>
      </c>
    </row>
    <row r="897" spans="1:6">
      <c r="A897" s="60">
        <v>89200</v>
      </c>
      <c r="B897" s="60">
        <f t="shared" si="66"/>
        <v>2986637</v>
      </c>
      <c r="C897" s="60">
        <f t="shared" si="69"/>
        <v>2986637</v>
      </c>
      <c r="D897" s="61">
        <f t="shared" si="65"/>
        <v>1</v>
      </c>
      <c r="E897" s="64">
        <f t="shared" si="67"/>
        <v>298.66369046136157</v>
      </c>
      <c r="F897" s="62" t="str">
        <f t="shared" si="68"/>
        <v/>
      </c>
    </row>
    <row r="898" spans="1:6">
      <c r="A898" s="60">
        <v>89300</v>
      </c>
      <c r="B898" s="60">
        <f t="shared" si="66"/>
        <v>2988311</v>
      </c>
      <c r="C898" s="60">
        <f t="shared" si="69"/>
        <v>2988311</v>
      </c>
      <c r="D898" s="61">
        <f t="shared" si="65"/>
        <v>1</v>
      </c>
      <c r="E898" s="64">
        <f t="shared" si="67"/>
        <v>298.83105594967867</v>
      </c>
      <c r="F898" s="62" t="str">
        <f t="shared" si="68"/>
        <v/>
      </c>
    </row>
    <row r="899" spans="1:6">
      <c r="A899" s="60">
        <v>89400</v>
      </c>
      <c r="B899" s="60">
        <f t="shared" si="66"/>
        <v>2989983</v>
      </c>
      <c r="C899" s="60">
        <f t="shared" si="69"/>
        <v>2989983</v>
      </c>
      <c r="D899" s="61">
        <f t="shared" si="65"/>
        <v>1</v>
      </c>
      <c r="E899" s="64">
        <f t="shared" si="67"/>
        <v>298.99832775452109</v>
      </c>
      <c r="F899" s="62" t="str">
        <f t="shared" si="68"/>
        <v/>
      </c>
    </row>
    <row r="900" spans="1:6">
      <c r="A900" s="60">
        <v>89500</v>
      </c>
      <c r="B900" s="60">
        <f t="shared" si="66"/>
        <v>2991655</v>
      </c>
      <c r="C900" s="60">
        <f t="shared" si="69"/>
        <v>2991655</v>
      </c>
      <c r="D900" s="61">
        <f t="shared" si="65"/>
        <v>1</v>
      </c>
      <c r="E900" s="64">
        <f t="shared" si="67"/>
        <v>299.16550603303182</v>
      </c>
      <c r="F900" s="62" t="str">
        <f t="shared" si="68"/>
        <v/>
      </c>
    </row>
    <row r="901" spans="1:6">
      <c r="A901" s="60">
        <v>89600</v>
      </c>
      <c r="B901" s="60">
        <f t="shared" si="66"/>
        <v>2993326</v>
      </c>
      <c r="C901" s="60">
        <f t="shared" si="69"/>
        <v>2993326</v>
      </c>
      <c r="D901" s="61">
        <f t="shared" ref="D901:D964" si="70">(A901-INDEX(兵力区间,MATCH(A901,兵力区间,1)))/(INDEX(兵力区间,MATCH(A901,兵力区间,1)+1)-INDEX(兵力区间,MATCH(A901,兵力区间,1)))*((INDEX(兵力调节,MATCH(A901,兵力区间,1)+1,2)-INDEX(兵力调节,MATCH(A901,兵力区间,1),2)))+INDEX(兵力调节,MATCH(A901,兵力区间,1),2)</f>
        <v>1</v>
      </c>
      <c r="E901" s="64">
        <f t="shared" si="67"/>
        <v>299.33259094191533</v>
      </c>
      <c r="F901" s="62" t="str">
        <f t="shared" si="68"/>
        <v/>
      </c>
    </row>
    <row r="902" spans="1:6">
      <c r="A902" s="60">
        <v>89700</v>
      </c>
      <c r="B902" s="60">
        <f t="shared" si="66"/>
        <v>2994996</v>
      </c>
      <c r="C902" s="60">
        <f t="shared" si="69"/>
        <v>2994996</v>
      </c>
      <c r="D902" s="61">
        <f t="shared" si="70"/>
        <v>1</v>
      </c>
      <c r="E902" s="64">
        <f t="shared" si="67"/>
        <v>299.49958263743872</v>
      </c>
      <c r="F902" s="62" t="str">
        <f t="shared" si="68"/>
        <v/>
      </c>
    </row>
    <row r="903" spans="1:6">
      <c r="A903" s="60">
        <v>89800</v>
      </c>
      <c r="B903" s="60">
        <f t="shared" ref="B903:B966" si="71">ROUND(D903*E903*10000,0)</f>
        <v>2996665</v>
      </c>
      <c r="C903" s="60">
        <f t="shared" si="69"/>
        <v>2996665</v>
      </c>
      <c r="D903" s="61">
        <f t="shared" si="70"/>
        <v>1</v>
      </c>
      <c r="E903" s="64">
        <f t="shared" ref="E903:E966" si="72">A903^0.5</f>
        <v>299.66648127543397</v>
      </c>
      <c r="F903" s="62" t="str">
        <f t="shared" si="68"/>
        <v/>
      </c>
    </row>
    <row r="904" spans="1:6">
      <c r="A904" s="60">
        <v>89900</v>
      </c>
      <c r="B904" s="60">
        <f t="shared" si="71"/>
        <v>2998333</v>
      </c>
      <c r="C904" s="60">
        <f t="shared" si="69"/>
        <v>2998333</v>
      </c>
      <c r="D904" s="61">
        <f t="shared" si="70"/>
        <v>1</v>
      </c>
      <c r="E904" s="64">
        <f t="shared" si="72"/>
        <v>299.83328701129898</v>
      </c>
      <c r="F904" s="62" t="str">
        <f t="shared" ref="F904:F967" si="73">IF(B904&lt;B903,1,"")</f>
        <v/>
      </c>
    </row>
    <row r="905" spans="1:6">
      <c r="A905" s="60">
        <v>90000</v>
      </c>
      <c r="B905" s="60">
        <f t="shared" si="71"/>
        <v>3000000</v>
      </c>
      <c r="C905" s="60">
        <f t="shared" si="69"/>
        <v>3000000</v>
      </c>
      <c r="D905" s="61">
        <f t="shared" si="70"/>
        <v>1</v>
      </c>
      <c r="E905" s="64">
        <f t="shared" si="72"/>
        <v>300</v>
      </c>
      <c r="F905" s="62" t="str">
        <f t="shared" si="73"/>
        <v/>
      </c>
    </row>
    <row r="906" spans="1:6">
      <c r="A906" s="60">
        <v>90100</v>
      </c>
      <c r="B906" s="60">
        <f t="shared" si="71"/>
        <v>3001666</v>
      </c>
      <c r="C906" s="60">
        <f t="shared" si="69"/>
        <v>3001666</v>
      </c>
      <c r="D906" s="61">
        <f t="shared" si="70"/>
        <v>1</v>
      </c>
      <c r="E906" s="64">
        <f t="shared" si="72"/>
        <v>300.16662039607269</v>
      </c>
      <c r="F906" s="62" t="str">
        <f t="shared" si="73"/>
        <v/>
      </c>
    </row>
    <row r="907" spans="1:6">
      <c r="A907" s="60">
        <v>90200</v>
      </c>
      <c r="B907" s="60">
        <f t="shared" si="71"/>
        <v>3003331</v>
      </c>
      <c r="C907" s="60">
        <f t="shared" ref="C907:C970" si="74">ROUND(D907*E907*10000,0)</f>
        <v>3003331</v>
      </c>
      <c r="D907" s="61">
        <f t="shared" si="70"/>
        <v>1</v>
      </c>
      <c r="E907" s="64">
        <f t="shared" si="72"/>
        <v>300.33314835362415</v>
      </c>
      <c r="F907" s="62" t="str">
        <f t="shared" si="73"/>
        <v/>
      </c>
    </row>
    <row r="908" spans="1:6">
      <c r="A908" s="60">
        <v>90300</v>
      </c>
      <c r="B908" s="60">
        <f t="shared" si="71"/>
        <v>3004996</v>
      </c>
      <c r="C908" s="60">
        <f t="shared" si="74"/>
        <v>3004996</v>
      </c>
      <c r="D908" s="61">
        <f t="shared" si="70"/>
        <v>1</v>
      </c>
      <c r="E908" s="64">
        <f t="shared" si="72"/>
        <v>300.49958402633439</v>
      </c>
      <c r="F908" s="62" t="str">
        <f t="shared" si="73"/>
        <v/>
      </c>
    </row>
    <row r="909" spans="1:6">
      <c r="A909" s="60">
        <v>90400</v>
      </c>
      <c r="B909" s="60">
        <f t="shared" si="71"/>
        <v>3006659</v>
      </c>
      <c r="C909" s="60">
        <f t="shared" si="74"/>
        <v>3006659</v>
      </c>
      <c r="D909" s="61">
        <f t="shared" si="70"/>
        <v>1</v>
      </c>
      <c r="E909" s="64">
        <f t="shared" si="72"/>
        <v>300.66592756745814</v>
      </c>
      <c r="F909" s="62" t="str">
        <f t="shared" si="73"/>
        <v/>
      </c>
    </row>
    <row r="910" spans="1:6">
      <c r="A910" s="60">
        <v>90500</v>
      </c>
      <c r="B910" s="60">
        <f t="shared" si="71"/>
        <v>3008322</v>
      </c>
      <c r="C910" s="60">
        <f t="shared" si="74"/>
        <v>3008322</v>
      </c>
      <c r="D910" s="61">
        <f t="shared" si="70"/>
        <v>1</v>
      </c>
      <c r="E910" s="64">
        <f t="shared" si="72"/>
        <v>300.83217912982644</v>
      </c>
      <c r="F910" s="62" t="str">
        <f t="shared" si="73"/>
        <v/>
      </c>
    </row>
    <row r="911" spans="1:6">
      <c r="A911" s="60">
        <v>90600</v>
      </c>
      <c r="B911" s="60">
        <f t="shared" si="71"/>
        <v>3009983</v>
      </c>
      <c r="C911" s="60">
        <f t="shared" si="74"/>
        <v>3009983</v>
      </c>
      <c r="D911" s="61">
        <f t="shared" si="70"/>
        <v>1</v>
      </c>
      <c r="E911" s="64">
        <f t="shared" si="72"/>
        <v>300.99833886584821</v>
      </c>
      <c r="F911" s="62" t="str">
        <f t="shared" si="73"/>
        <v/>
      </c>
    </row>
    <row r="912" spans="1:6">
      <c r="A912" s="60">
        <v>90700</v>
      </c>
      <c r="B912" s="60">
        <f t="shared" si="71"/>
        <v>3011644</v>
      </c>
      <c r="C912" s="60">
        <f t="shared" si="74"/>
        <v>3011644</v>
      </c>
      <c r="D912" s="61">
        <f t="shared" si="70"/>
        <v>1</v>
      </c>
      <c r="E912" s="64">
        <f t="shared" si="72"/>
        <v>301.16440692751195</v>
      </c>
      <c r="F912" s="62" t="str">
        <f t="shared" si="73"/>
        <v/>
      </c>
    </row>
    <row r="913" spans="1:6">
      <c r="A913" s="60">
        <v>90800</v>
      </c>
      <c r="B913" s="60">
        <f t="shared" si="71"/>
        <v>3013304</v>
      </c>
      <c r="C913" s="60">
        <f t="shared" si="74"/>
        <v>3013304</v>
      </c>
      <c r="D913" s="61">
        <f t="shared" si="70"/>
        <v>1</v>
      </c>
      <c r="E913" s="64">
        <f t="shared" si="72"/>
        <v>301.33038346638727</v>
      </c>
      <c r="F913" s="62" t="str">
        <f t="shared" si="73"/>
        <v/>
      </c>
    </row>
    <row r="914" spans="1:6">
      <c r="A914" s="60">
        <v>90900</v>
      </c>
      <c r="B914" s="60">
        <f t="shared" si="71"/>
        <v>3014963</v>
      </c>
      <c r="C914" s="60">
        <f t="shared" si="74"/>
        <v>3014963</v>
      </c>
      <c r="D914" s="61">
        <f t="shared" si="70"/>
        <v>1</v>
      </c>
      <c r="E914" s="64">
        <f t="shared" si="72"/>
        <v>301.4962686336267</v>
      </c>
      <c r="F914" s="62" t="str">
        <f t="shared" si="73"/>
        <v/>
      </c>
    </row>
    <row r="915" spans="1:6">
      <c r="A915" s="60">
        <v>91000</v>
      </c>
      <c r="B915" s="60">
        <f t="shared" si="71"/>
        <v>3016621</v>
      </c>
      <c r="C915" s="60">
        <f t="shared" si="74"/>
        <v>3016621</v>
      </c>
      <c r="D915" s="61">
        <f t="shared" si="70"/>
        <v>1</v>
      </c>
      <c r="E915" s="64">
        <f t="shared" si="72"/>
        <v>301.66206257996714</v>
      </c>
      <c r="F915" s="62" t="str">
        <f t="shared" si="73"/>
        <v/>
      </c>
    </row>
    <row r="916" spans="1:6">
      <c r="A916" s="60">
        <v>91100</v>
      </c>
      <c r="B916" s="60">
        <f t="shared" si="71"/>
        <v>3018278</v>
      </c>
      <c r="C916" s="60">
        <f t="shared" si="74"/>
        <v>3018278</v>
      </c>
      <c r="D916" s="61">
        <f t="shared" si="70"/>
        <v>1</v>
      </c>
      <c r="E916" s="64">
        <f t="shared" si="72"/>
        <v>301.82776545573137</v>
      </c>
      <c r="F916" s="62" t="str">
        <f t="shared" si="73"/>
        <v/>
      </c>
    </row>
    <row r="917" spans="1:6">
      <c r="A917" s="60">
        <v>91200</v>
      </c>
      <c r="B917" s="60">
        <f t="shared" si="71"/>
        <v>3019934</v>
      </c>
      <c r="C917" s="60">
        <f t="shared" si="74"/>
        <v>3019934</v>
      </c>
      <c r="D917" s="61">
        <f t="shared" si="70"/>
        <v>1</v>
      </c>
      <c r="E917" s="64">
        <f t="shared" si="72"/>
        <v>301.99337741082996</v>
      </c>
      <c r="F917" s="62" t="str">
        <f t="shared" si="73"/>
        <v/>
      </c>
    </row>
    <row r="918" spans="1:6">
      <c r="A918" s="60">
        <v>91300</v>
      </c>
      <c r="B918" s="60">
        <f t="shared" si="71"/>
        <v>3021589</v>
      </c>
      <c r="C918" s="60">
        <f t="shared" si="74"/>
        <v>3021589</v>
      </c>
      <c r="D918" s="61">
        <f t="shared" si="70"/>
        <v>1</v>
      </c>
      <c r="E918" s="64">
        <f t="shared" si="72"/>
        <v>302.15889859476255</v>
      </c>
      <c r="F918" s="62" t="str">
        <f t="shared" si="73"/>
        <v/>
      </c>
    </row>
    <row r="919" spans="1:6">
      <c r="A919" s="60">
        <v>91400</v>
      </c>
      <c r="B919" s="60">
        <f t="shared" si="71"/>
        <v>3023243</v>
      </c>
      <c r="C919" s="60">
        <f t="shared" si="74"/>
        <v>3023243</v>
      </c>
      <c r="D919" s="61">
        <f t="shared" si="70"/>
        <v>1</v>
      </c>
      <c r="E919" s="64">
        <f t="shared" si="72"/>
        <v>302.32432915661946</v>
      </c>
      <c r="F919" s="62" t="str">
        <f t="shared" si="73"/>
        <v/>
      </c>
    </row>
    <row r="920" spans="1:6">
      <c r="A920" s="60">
        <v>91500</v>
      </c>
      <c r="B920" s="60">
        <f t="shared" si="71"/>
        <v>3024897</v>
      </c>
      <c r="C920" s="60">
        <f t="shared" si="74"/>
        <v>3024897</v>
      </c>
      <c r="D920" s="61">
        <f t="shared" si="70"/>
        <v>1</v>
      </c>
      <c r="E920" s="64">
        <f t="shared" si="72"/>
        <v>302.48966924508346</v>
      </c>
      <c r="F920" s="62" t="str">
        <f t="shared" si="73"/>
        <v/>
      </c>
    </row>
    <row r="921" spans="1:6">
      <c r="A921" s="60">
        <v>91600</v>
      </c>
      <c r="B921" s="60">
        <f t="shared" si="71"/>
        <v>3026549</v>
      </c>
      <c r="C921" s="60">
        <f t="shared" si="74"/>
        <v>3026549</v>
      </c>
      <c r="D921" s="61">
        <f t="shared" si="70"/>
        <v>1</v>
      </c>
      <c r="E921" s="64">
        <f t="shared" si="72"/>
        <v>302.65491900843114</v>
      </c>
      <c r="F921" s="62" t="str">
        <f t="shared" si="73"/>
        <v/>
      </c>
    </row>
    <row r="922" spans="1:6">
      <c r="A922" s="60">
        <v>91700</v>
      </c>
      <c r="B922" s="60">
        <f t="shared" si="71"/>
        <v>3028201</v>
      </c>
      <c r="C922" s="60">
        <f t="shared" si="74"/>
        <v>3028201</v>
      </c>
      <c r="D922" s="61">
        <f t="shared" si="70"/>
        <v>1</v>
      </c>
      <c r="E922" s="64">
        <f t="shared" si="72"/>
        <v>302.82007859453444</v>
      </c>
      <c r="F922" s="62" t="str">
        <f t="shared" si="73"/>
        <v/>
      </c>
    </row>
    <row r="923" spans="1:6">
      <c r="A923" s="60">
        <v>91800</v>
      </c>
      <c r="B923" s="60">
        <f t="shared" si="71"/>
        <v>3029851</v>
      </c>
      <c r="C923" s="60">
        <f t="shared" si="74"/>
        <v>3029851</v>
      </c>
      <c r="D923" s="61">
        <f t="shared" si="70"/>
        <v>1</v>
      </c>
      <c r="E923" s="64">
        <f t="shared" si="72"/>
        <v>302.98514815086236</v>
      </c>
      <c r="F923" s="62" t="str">
        <f t="shared" si="73"/>
        <v/>
      </c>
    </row>
    <row r="924" spans="1:6">
      <c r="A924" s="60">
        <v>91900</v>
      </c>
      <c r="B924" s="60">
        <f t="shared" si="71"/>
        <v>3031501</v>
      </c>
      <c r="C924" s="60">
        <f t="shared" si="74"/>
        <v>3031501</v>
      </c>
      <c r="D924" s="61">
        <f t="shared" si="70"/>
        <v>1</v>
      </c>
      <c r="E924" s="64">
        <f t="shared" si="72"/>
        <v>303.15012782448235</v>
      </c>
      <c r="F924" s="62" t="str">
        <f t="shared" si="73"/>
        <v/>
      </c>
    </row>
    <row r="925" spans="1:6">
      <c r="A925" s="60">
        <v>92000</v>
      </c>
      <c r="B925" s="60">
        <f t="shared" si="71"/>
        <v>3033150</v>
      </c>
      <c r="C925" s="60">
        <f t="shared" si="74"/>
        <v>3033150</v>
      </c>
      <c r="D925" s="61">
        <f t="shared" si="70"/>
        <v>1</v>
      </c>
      <c r="E925" s="64">
        <f t="shared" si="72"/>
        <v>303.31501776206204</v>
      </c>
      <c r="F925" s="62" t="str">
        <f t="shared" si="73"/>
        <v/>
      </c>
    </row>
    <row r="926" spans="1:6">
      <c r="A926" s="60">
        <v>92100</v>
      </c>
      <c r="B926" s="60">
        <f t="shared" si="71"/>
        <v>3034798</v>
      </c>
      <c r="C926" s="60">
        <f t="shared" si="74"/>
        <v>3034798</v>
      </c>
      <c r="D926" s="61">
        <f t="shared" si="70"/>
        <v>1</v>
      </c>
      <c r="E926" s="64">
        <f t="shared" si="72"/>
        <v>303.47981810987034</v>
      </c>
      <c r="F926" s="62" t="str">
        <f t="shared" si="73"/>
        <v/>
      </c>
    </row>
    <row r="927" spans="1:6">
      <c r="A927" s="60">
        <v>92200</v>
      </c>
      <c r="B927" s="60">
        <f t="shared" si="71"/>
        <v>3036445</v>
      </c>
      <c r="C927" s="60">
        <f t="shared" si="74"/>
        <v>3036445</v>
      </c>
      <c r="D927" s="61">
        <f t="shared" si="70"/>
        <v>1</v>
      </c>
      <c r="E927" s="64">
        <f t="shared" si="72"/>
        <v>303.6445290137795</v>
      </c>
      <c r="F927" s="62" t="str">
        <f t="shared" si="73"/>
        <v/>
      </c>
    </row>
    <row r="928" spans="1:6">
      <c r="A928" s="60">
        <v>92300</v>
      </c>
      <c r="B928" s="60">
        <f t="shared" si="71"/>
        <v>3038092</v>
      </c>
      <c r="C928" s="60">
        <f t="shared" si="74"/>
        <v>3038092</v>
      </c>
      <c r="D928" s="61">
        <f t="shared" si="70"/>
        <v>1</v>
      </c>
      <c r="E928" s="64">
        <f t="shared" si="72"/>
        <v>303.80915061926623</v>
      </c>
      <c r="F928" s="62" t="str">
        <f t="shared" si="73"/>
        <v/>
      </c>
    </row>
    <row r="929" spans="1:6">
      <c r="A929" s="60">
        <v>92400</v>
      </c>
      <c r="B929" s="60">
        <f t="shared" si="71"/>
        <v>3039737</v>
      </c>
      <c r="C929" s="60">
        <f t="shared" si="74"/>
        <v>3039737</v>
      </c>
      <c r="D929" s="61">
        <f t="shared" si="70"/>
        <v>1</v>
      </c>
      <c r="E929" s="64">
        <f t="shared" si="72"/>
        <v>303.97368307141329</v>
      </c>
      <c r="F929" s="62" t="str">
        <f t="shared" si="73"/>
        <v/>
      </c>
    </row>
    <row r="930" spans="1:6">
      <c r="A930" s="60">
        <v>92500</v>
      </c>
      <c r="B930" s="60">
        <f t="shared" si="71"/>
        <v>3041381</v>
      </c>
      <c r="C930" s="60">
        <f t="shared" si="74"/>
        <v>3041381</v>
      </c>
      <c r="D930" s="61">
        <f t="shared" si="70"/>
        <v>1</v>
      </c>
      <c r="E930" s="64">
        <f t="shared" si="72"/>
        <v>304.13812651491099</v>
      </c>
      <c r="F930" s="62" t="str">
        <f t="shared" si="73"/>
        <v/>
      </c>
    </row>
    <row r="931" spans="1:6">
      <c r="A931" s="60">
        <v>92600</v>
      </c>
      <c r="B931" s="60">
        <f t="shared" si="71"/>
        <v>3043025</v>
      </c>
      <c r="C931" s="60">
        <f t="shared" si="74"/>
        <v>3043025</v>
      </c>
      <c r="D931" s="61">
        <f t="shared" si="70"/>
        <v>1</v>
      </c>
      <c r="E931" s="64">
        <f t="shared" si="72"/>
        <v>304.30248109405881</v>
      </c>
      <c r="F931" s="62" t="str">
        <f t="shared" si="73"/>
        <v/>
      </c>
    </row>
    <row r="932" spans="1:6">
      <c r="A932" s="60">
        <v>92700</v>
      </c>
      <c r="B932" s="60">
        <f t="shared" si="71"/>
        <v>3044667</v>
      </c>
      <c r="C932" s="60">
        <f t="shared" si="74"/>
        <v>3044667</v>
      </c>
      <c r="D932" s="61">
        <f t="shared" si="70"/>
        <v>1</v>
      </c>
      <c r="E932" s="64">
        <f t="shared" si="72"/>
        <v>304.46674695276658</v>
      </c>
      <c r="F932" s="62" t="str">
        <f t="shared" si="73"/>
        <v/>
      </c>
    </row>
    <row r="933" spans="1:6">
      <c r="A933" s="60">
        <v>92800</v>
      </c>
      <c r="B933" s="60">
        <f t="shared" si="71"/>
        <v>3046309</v>
      </c>
      <c r="C933" s="60">
        <f t="shared" si="74"/>
        <v>3046309</v>
      </c>
      <c r="D933" s="61">
        <f t="shared" si="70"/>
        <v>1</v>
      </c>
      <c r="E933" s="64">
        <f t="shared" si="72"/>
        <v>304.63092423455635</v>
      </c>
      <c r="F933" s="62" t="str">
        <f t="shared" si="73"/>
        <v/>
      </c>
    </row>
    <row r="934" spans="1:6">
      <c r="A934" s="60">
        <v>92900</v>
      </c>
      <c r="B934" s="60">
        <f t="shared" si="71"/>
        <v>3047950</v>
      </c>
      <c r="C934" s="60">
        <f t="shared" si="74"/>
        <v>3047950</v>
      </c>
      <c r="D934" s="61">
        <f t="shared" si="70"/>
        <v>1</v>
      </c>
      <c r="E934" s="64">
        <f t="shared" si="72"/>
        <v>304.7950130825634</v>
      </c>
      <c r="F934" s="62" t="str">
        <f t="shared" si="73"/>
        <v/>
      </c>
    </row>
    <row r="935" spans="1:6">
      <c r="A935" s="60">
        <v>93000</v>
      </c>
      <c r="B935" s="60">
        <f t="shared" si="71"/>
        <v>3049590</v>
      </c>
      <c r="C935" s="60">
        <f t="shared" si="74"/>
        <v>3049590</v>
      </c>
      <c r="D935" s="61">
        <f t="shared" si="70"/>
        <v>1</v>
      </c>
      <c r="E935" s="64">
        <f t="shared" si="72"/>
        <v>304.95901363953811</v>
      </c>
      <c r="F935" s="62" t="str">
        <f t="shared" si="73"/>
        <v/>
      </c>
    </row>
    <row r="936" spans="1:6">
      <c r="A936" s="60">
        <v>93100</v>
      </c>
      <c r="B936" s="60">
        <f t="shared" si="71"/>
        <v>3051229</v>
      </c>
      <c r="C936" s="60">
        <f t="shared" si="74"/>
        <v>3051229</v>
      </c>
      <c r="D936" s="61">
        <f t="shared" si="70"/>
        <v>1</v>
      </c>
      <c r="E936" s="64">
        <f t="shared" si="72"/>
        <v>305.12292604784716</v>
      </c>
      <c r="F936" s="62" t="str">
        <f t="shared" si="73"/>
        <v/>
      </c>
    </row>
    <row r="937" spans="1:6">
      <c r="A937" s="60">
        <v>93200</v>
      </c>
      <c r="B937" s="60">
        <f t="shared" si="71"/>
        <v>3052868</v>
      </c>
      <c r="C937" s="60">
        <f t="shared" si="74"/>
        <v>3052868</v>
      </c>
      <c r="D937" s="61">
        <f t="shared" si="70"/>
        <v>1</v>
      </c>
      <c r="E937" s="64">
        <f t="shared" si="72"/>
        <v>305.28675044947494</v>
      </c>
      <c r="F937" s="62" t="str">
        <f t="shared" si="73"/>
        <v/>
      </c>
    </row>
    <row r="938" spans="1:6">
      <c r="A938" s="60">
        <v>93300</v>
      </c>
      <c r="B938" s="60">
        <f t="shared" si="71"/>
        <v>3054505</v>
      </c>
      <c r="C938" s="60">
        <f t="shared" si="74"/>
        <v>3054505</v>
      </c>
      <c r="D938" s="61">
        <f t="shared" si="70"/>
        <v>1</v>
      </c>
      <c r="E938" s="64">
        <f t="shared" si="72"/>
        <v>305.45048698602528</v>
      </c>
      <c r="F938" s="62" t="str">
        <f t="shared" si="73"/>
        <v/>
      </c>
    </row>
    <row r="939" spans="1:6">
      <c r="A939" s="60">
        <v>93400</v>
      </c>
      <c r="B939" s="60">
        <f t="shared" si="71"/>
        <v>3056141</v>
      </c>
      <c r="C939" s="60">
        <f t="shared" si="74"/>
        <v>3056141</v>
      </c>
      <c r="D939" s="61">
        <f t="shared" si="70"/>
        <v>1</v>
      </c>
      <c r="E939" s="64">
        <f t="shared" si="72"/>
        <v>305.61413579872249</v>
      </c>
      <c r="F939" s="62" t="str">
        <f t="shared" si="73"/>
        <v/>
      </c>
    </row>
    <row r="940" spans="1:6">
      <c r="A940" s="60">
        <v>93500</v>
      </c>
      <c r="B940" s="60">
        <f t="shared" si="71"/>
        <v>3057777</v>
      </c>
      <c r="C940" s="60">
        <f t="shared" si="74"/>
        <v>3057777</v>
      </c>
      <c r="D940" s="61">
        <f t="shared" si="70"/>
        <v>1</v>
      </c>
      <c r="E940" s="64">
        <f t="shared" si="72"/>
        <v>305.77769702841312</v>
      </c>
      <c r="F940" s="62" t="str">
        <f t="shared" si="73"/>
        <v/>
      </c>
    </row>
    <row r="941" spans="1:6">
      <c r="A941" s="60">
        <v>93600</v>
      </c>
      <c r="B941" s="60">
        <f t="shared" si="71"/>
        <v>3059412</v>
      </c>
      <c r="C941" s="60">
        <f t="shared" si="74"/>
        <v>3059412</v>
      </c>
      <c r="D941" s="61">
        <f t="shared" si="70"/>
        <v>1</v>
      </c>
      <c r="E941" s="64">
        <f t="shared" si="72"/>
        <v>305.94117081556709</v>
      </c>
      <c r="F941" s="62" t="str">
        <f t="shared" si="73"/>
        <v/>
      </c>
    </row>
    <row r="942" spans="1:6">
      <c r="A942" s="60">
        <v>93700</v>
      </c>
      <c r="B942" s="60">
        <f t="shared" si="71"/>
        <v>3061046</v>
      </c>
      <c r="C942" s="60">
        <f t="shared" si="74"/>
        <v>3061046</v>
      </c>
      <c r="D942" s="61">
        <f t="shared" si="70"/>
        <v>1</v>
      </c>
      <c r="E942" s="64">
        <f t="shared" si="72"/>
        <v>306.10455730027934</v>
      </c>
      <c r="F942" s="62" t="str">
        <f t="shared" si="73"/>
        <v/>
      </c>
    </row>
    <row r="943" spans="1:6">
      <c r="A943" s="60">
        <v>93800</v>
      </c>
      <c r="B943" s="60">
        <f t="shared" si="71"/>
        <v>3062679</v>
      </c>
      <c r="C943" s="60">
        <f t="shared" si="74"/>
        <v>3062679</v>
      </c>
      <c r="D943" s="61">
        <f t="shared" si="70"/>
        <v>1</v>
      </c>
      <c r="E943" s="64">
        <f t="shared" si="72"/>
        <v>306.2678566222711</v>
      </c>
      <c r="F943" s="62" t="str">
        <f t="shared" si="73"/>
        <v/>
      </c>
    </row>
    <row r="944" spans="1:6">
      <c r="A944" s="60">
        <v>93900</v>
      </c>
      <c r="B944" s="60">
        <f t="shared" si="71"/>
        <v>3064311</v>
      </c>
      <c r="C944" s="60">
        <f t="shared" si="74"/>
        <v>3064311</v>
      </c>
      <c r="D944" s="61">
        <f t="shared" si="70"/>
        <v>1</v>
      </c>
      <c r="E944" s="64">
        <f t="shared" si="72"/>
        <v>306.43106892089122</v>
      </c>
      <c r="F944" s="62" t="str">
        <f t="shared" si="73"/>
        <v/>
      </c>
    </row>
    <row r="945" spans="1:6">
      <c r="A945" s="60">
        <v>94000</v>
      </c>
      <c r="B945" s="60">
        <f t="shared" si="71"/>
        <v>3065942</v>
      </c>
      <c r="C945" s="60">
        <f t="shared" si="74"/>
        <v>3065942</v>
      </c>
      <c r="D945" s="61">
        <f t="shared" si="70"/>
        <v>1</v>
      </c>
      <c r="E945" s="64">
        <f t="shared" si="72"/>
        <v>306.59419433511783</v>
      </c>
      <c r="F945" s="62" t="str">
        <f t="shared" si="73"/>
        <v/>
      </c>
    </row>
    <row r="946" spans="1:6">
      <c r="A946" s="60">
        <v>94100</v>
      </c>
      <c r="B946" s="60">
        <f t="shared" si="71"/>
        <v>3067572</v>
      </c>
      <c r="C946" s="60">
        <f t="shared" si="74"/>
        <v>3067572</v>
      </c>
      <c r="D946" s="61">
        <f t="shared" si="70"/>
        <v>1</v>
      </c>
      <c r="E946" s="64">
        <f t="shared" si="72"/>
        <v>306.75723300355935</v>
      </c>
      <c r="F946" s="62" t="str">
        <f t="shared" si="73"/>
        <v/>
      </c>
    </row>
    <row r="947" spans="1:6">
      <c r="A947" s="60">
        <v>94200</v>
      </c>
      <c r="B947" s="60">
        <f t="shared" si="71"/>
        <v>3069202</v>
      </c>
      <c r="C947" s="60">
        <f t="shared" si="74"/>
        <v>3069202</v>
      </c>
      <c r="D947" s="61">
        <f t="shared" si="70"/>
        <v>1</v>
      </c>
      <c r="E947" s="64">
        <f t="shared" si="72"/>
        <v>306.92018506445612</v>
      </c>
      <c r="F947" s="62" t="str">
        <f t="shared" si="73"/>
        <v/>
      </c>
    </row>
    <row r="948" spans="1:6">
      <c r="A948" s="60">
        <v>94300</v>
      </c>
      <c r="B948" s="60">
        <f t="shared" si="71"/>
        <v>3070831</v>
      </c>
      <c r="C948" s="60">
        <f t="shared" si="74"/>
        <v>3070831</v>
      </c>
      <c r="D948" s="61">
        <f t="shared" si="70"/>
        <v>1</v>
      </c>
      <c r="E948" s="64">
        <f t="shared" si="72"/>
        <v>307.08305065568175</v>
      </c>
      <c r="F948" s="62" t="str">
        <f t="shared" si="73"/>
        <v/>
      </c>
    </row>
    <row r="949" spans="1:6">
      <c r="A949" s="60">
        <v>94400</v>
      </c>
      <c r="B949" s="60">
        <f t="shared" si="71"/>
        <v>3072458</v>
      </c>
      <c r="C949" s="60">
        <f t="shared" si="74"/>
        <v>3072458</v>
      </c>
      <c r="D949" s="61">
        <f t="shared" si="70"/>
        <v>1</v>
      </c>
      <c r="E949" s="64">
        <f t="shared" si="72"/>
        <v>307.24582991474432</v>
      </c>
      <c r="F949" s="62" t="str">
        <f t="shared" si="73"/>
        <v/>
      </c>
    </row>
    <row r="950" spans="1:6">
      <c r="A950" s="60">
        <v>94500</v>
      </c>
      <c r="B950" s="60">
        <f t="shared" si="71"/>
        <v>3074085</v>
      </c>
      <c r="C950" s="60">
        <f t="shared" si="74"/>
        <v>3074085</v>
      </c>
      <c r="D950" s="61">
        <f t="shared" si="70"/>
        <v>1</v>
      </c>
      <c r="E950" s="64">
        <f t="shared" si="72"/>
        <v>307.40852297878797</v>
      </c>
      <c r="F950" s="62" t="str">
        <f t="shared" si="73"/>
        <v/>
      </c>
    </row>
    <row r="951" spans="1:6">
      <c r="A951" s="60">
        <v>94600</v>
      </c>
      <c r="B951" s="60">
        <f t="shared" si="71"/>
        <v>3075711</v>
      </c>
      <c r="C951" s="60">
        <f t="shared" si="74"/>
        <v>3075711</v>
      </c>
      <c r="D951" s="61">
        <f t="shared" si="70"/>
        <v>1</v>
      </c>
      <c r="E951" s="64">
        <f t="shared" si="72"/>
        <v>307.57112998459399</v>
      </c>
      <c r="F951" s="62" t="str">
        <f t="shared" si="73"/>
        <v/>
      </c>
    </row>
    <row r="952" spans="1:6">
      <c r="A952" s="60">
        <v>94700</v>
      </c>
      <c r="B952" s="60">
        <f t="shared" si="71"/>
        <v>3077337</v>
      </c>
      <c r="C952" s="60">
        <f t="shared" si="74"/>
        <v>3077337</v>
      </c>
      <c r="D952" s="61">
        <f t="shared" si="70"/>
        <v>1</v>
      </c>
      <c r="E952" s="64">
        <f t="shared" si="72"/>
        <v>307.73365106858233</v>
      </c>
      <c r="F952" s="62" t="str">
        <f t="shared" si="73"/>
        <v/>
      </c>
    </row>
    <row r="953" spans="1:6">
      <c r="A953" s="60">
        <v>94800</v>
      </c>
      <c r="B953" s="60">
        <f t="shared" si="71"/>
        <v>3078961</v>
      </c>
      <c r="C953" s="60">
        <f t="shared" si="74"/>
        <v>3078961</v>
      </c>
      <c r="D953" s="61">
        <f t="shared" si="70"/>
        <v>1</v>
      </c>
      <c r="E953" s="64">
        <f t="shared" si="72"/>
        <v>307.89608636681305</v>
      </c>
      <c r="F953" s="62" t="str">
        <f t="shared" si="73"/>
        <v/>
      </c>
    </row>
    <row r="954" spans="1:6">
      <c r="A954" s="60">
        <v>94900</v>
      </c>
      <c r="B954" s="60">
        <f t="shared" si="71"/>
        <v>3080584</v>
      </c>
      <c r="C954" s="60">
        <f t="shared" si="74"/>
        <v>3080584</v>
      </c>
      <c r="D954" s="61">
        <f t="shared" si="70"/>
        <v>1</v>
      </c>
      <c r="E954" s="64">
        <f t="shared" si="72"/>
        <v>308.05843601498725</v>
      </c>
      <c r="F954" s="62" t="str">
        <f t="shared" si="73"/>
        <v/>
      </c>
    </row>
    <row r="955" spans="1:6">
      <c r="A955" s="60">
        <v>95000</v>
      </c>
      <c r="B955" s="60">
        <f t="shared" si="71"/>
        <v>3082207</v>
      </c>
      <c r="C955" s="60">
        <f t="shared" si="74"/>
        <v>3082207</v>
      </c>
      <c r="D955" s="61">
        <f t="shared" si="70"/>
        <v>1</v>
      </c>
      <c r="E955" s="64">
        <f t="shared" si="72"/>
        <v>308.22070014844883</v>
      </c>
      <c r="F955" s="62" t="str">
        <f t="shared" si="73"/>
        <v/>
      </c>
    </row>
    <row r="956" spans="1:6">
      <c r="A956" s="60">
        <v>95100</v>
      </c>
      <c r="B956" s="60">
        <f t="shared" si="71"/>
        <v>3083829</v>
      </c>
      <c r="C956" s="60">
        <f t="shared" si="74"/>
        <v>3083829</v>
      </c>
      <c r="D956" s="61">
        <f t="shared" si="70"/>
        <v>1</v>
      </c>
      <c r="E956" s="64">
        <f t="shared" si="72"/>
        <v>308.3828789021855</v>
      </c>
      <c r="F956" s="62" t="str">
        <f t="shared" si="73"/>
        <v/>
      </c>
    </row>
    <row r="957" spans="1:6">
      <c r="A957" s="60">
        <v>95200</v>
      </c>
      <c r="B957" s="60">
        <f t="shared" si="71"/>
        <v>3085450</v>
      </c>
      <c r="C957" s="60">
        <f t="shared" si="74"/>
        <v>3085450</v>
      </c>
      <c r="D957" s="61">
        <f t="shared" si="70"/>
        <v>1</v>
      </c>
      <c r="E957" s="64">
        <f t="shared" si="72"/>
        <v>308.54497241083027</v>
      </c>
      <c r="F957" s="62" t="str">
        <f t="shared" si="73"/>
        <v/>
      </c>
    </row>
    <row r="958" spans="1:6">
      <c r="A958" s="60">
        <v>95300</v>
      </c>
      <c r="B958" s="60">
        <f t="shared" si="71"/>
        <v>3087070</v>
      </c>
      <c r="C958" s="60">
        <f t="shared" si="74"/>
        <v>3087070</v>
      </c>
      <c r="D958" s="61">
        <f t="shared" si="70"/>
        <v>1</v>
      </c>
      <c r="E958" s="64">
        <f t="shared" si="72"/>
        <v>308.70698080866265</v>
      </c>
      <c r="F958" s="62" t="str">
        <f t="shared" si="73"/>
        <v/>
      </c>
    </row>
    <row r="959" spans="1:6">
      <c r="A959" s="60">
        <v>95400</v>
      </c>
      <c r="B959" s="60">
        <f t="shared" si="71"/>
        <v>3088689</v>
      </c>
      <c r="C959" s="60">
        <f t="shared" si="74"/>
        <v>3088689</v>
      </c>
      <c r="D959" s="61">
        <f t="shared" si="70"/>
        <v>1</v>
      </c>
      <c r="E959" s="64">
        <f t="shared" si="72"/>
        <v>308.86890422961</v>
      </c>
      <c r="F959" s="62" t="str">
        <f t="shared" si="73"/>
        <v/>
      </c>
    </row>
    <row r="960" spans="1:6">
      <c r="A960" s="60">
        <v>95500</v>
      </c>
      <c r="B960" s="60">
        <f t="shared" si="71"/>
        <v>3090307</v>
      </c>
      <c r="C960" s="60">
        <f t="shared" si="74"/>
        <v>3090307</v>
      </c>
      <c r="D960" s="61">
        <f t="shared" si="70"/>
        <v>1</v>
      </c>
      <c r="E960" s="64">
        <f t="shared" si="72"/>
        <v>309.03074280724888</v>
      </c>
      <c r="F960" s="62" t="str">
        <f t="shared" si="73"/>
        <v/>
      </c>
    </row>
    <row r="961" spans="1:6">
      <c r="A961" s="60">
        <v>95600</v>
      </c>
      <c r="B961" s="60">
        <f t="shared" si="71"/>
        <v>3091925</v>
      </c>
      <c r="C961" s="60">
        <f t="shared" si="74"/>
        <v>3091925</v>
      </c>
      <c r="D961" s="61">
        <f t="shared" si="70"/>
        <v>1</v>
      </c>
      <c r="E961" s="64">
        <f t="shared" si="72"/>
        <v>309.19249667480614</v>
      </c>
      <c r="F961" s="62" t="str">
        <f t="shared" si="73"/>
        <v/>
      </c>
    </row>
    <row r="962" spans="1:6">
      <c r="A962" s="60">
        <v>95700</v>
      </c>
      <c r="B962" s="60">
        <f t="shared" si="71"/>
        <v>3093542</v>
      </c>
      <c r="C962" s="60">
        <f t="shared" si="74"/>
        <v>3093542</v>
      </c>
      <c r="D962" s="61">
        <f t="shared" si="70"/>
        <v>1</v>
      </c>
      <c r="E962" s="64">
        <f t="shared" si="72"/>
        <v>309.3541659651604</v>
      </c>
      <c r="F962" s="62" t="str">
        <f t="shared" si="73"/>
        <v/>
      </c>
    </row>
    <row r="963" spans="1:6">
      <c r="A963" s="60">
        <v>95800</v>
      </c>
      <c r="B963" s="60">
        <f t="shared" si="71"/>
        <v>3095158</v>
      </c>
      <c r="C963" s="60">
        <f t="shared" si="74"/>
        <v>3095158</v>
      </c>
      <c r="D963" s="61">
        <f t="shared" si="70"/>
        <v>1</v>
      </c>
      <c r="E963" s="64">
        <f t="shared" si="72"/>
        <v>309.5157508108432</v>
      </c>
      <c r="F963" s="62" t="str">
        <f t="shared" si="73"/>
        <v/>
      </c>
    </row>
    <row r="964" spans="1:6">
      <c r="A964" s="60">
        <v>95900</v>
      </c>
      <c r="B964" s="60">
        <f t="shared" si="71"/>
        <v>3096773</v>
      </c>
      <c r="C964" s="60">
        <f t="shared" si="74"/>
        <v>3096773</v>
      </c>
      <c r="D964" s="61">
        <f t="shared" si="70"/>
        <v>1</v>
      </c>
      <c r="E964" s="64">
        <f t="shared" si="72"/>
        <v>309.67725134404043</v>
      </c>
      <c r="F964" s="62" t="str">
        <f t="shared" si="73"/>
        <v/>
      </c>
    </row>
    <row r="965" spans="1:6">
      <c r="A965" s="60">
        <v>96000</v>
      </c>
      <c r="B965" s="60">
        <f t="shared" si="71"/>
        <v>3098387</v>
      </c>
      <c r="C965" s="60">
        <f t="shared" si="74"/>
        <v>3098387</v>
      </c>
      <c r="D965" s="61">
        <f t="shared" ref="D965:D1028" si="75">(A965-INDEX(兵力区间,MATCH(A965,兵力区间,1)))/(INDEX(兵力区间,MATCH(A965,兵力区间,1)+1)-INDEX(兵力区间,MATCH(A965,兵力区间,1)))*((INDEX(兵力调节,MATCH(A965,兵力区间,1)+1,2)-INDEX(兵力调节,MATCH(A965,兵力区间,1),2)))+INDEX(兵力调节,MATCH(A965,兵力区间,1),2)</f>
        <v>1</v>
      </c>
      <c r="E965" s="64">
        <f t="shared" si="72"/>
        <v>309.83866769659335</v>
      </c>
      <c r="F965" s="62" t="str">
        <f t="shared" si="73"/>
        <v/>
      </c>
    </row>
    <row r="966" spans="1:6">
      <c r="A966" s="60">
        <v>96100</v>
      </c>
      <c r="B966" s="60">
        <f t="shared" si="71"/>
        <v>3100000</v>
      </c>
      <c r="C966" s="60">
        <f t="shared" si="74"/>
        <v>3100000</v>
      </c>
      <c r="D966" s="61">
        <f t="shared" si="75"/>
        <v>1</v>
      </c>
      <c r="E966" s="64">
        <f t="shared" si="72"/>
        <v>310</v>
      </c>
      <c r="F966" s="62" t="str">
        <f t="shared" si="73"/>
        <v/>
      </c>
    </row>
    <row r="967" spans="1:6">
      <c r="A967" s="60">
        <v>96200</v>
      </c>
      <c r="B967" s="60">
        <f t="shared" ref="B967:B1030" si="76">ROUND(D967*E967*10000,0)</f>
        <v>3101612</v>
      </c>
      <c r="C967" s="60">
        <f t="shared" si="74"/>
        <v>3101612</v>
      </c>
      <c r="D967" s="61">
        <f t="shared" si="75"/>
        <v>1</v>
      </c>
      <c r="E967" s="64">
        <f t="shared" ref="E967:E1030" si="77">A967^0.5</f>
        <v>310.16124838541646</v>
      </c>
      <c r="F967" s="62" t="str">
        <f t="shared" si="73"/>
        <v/>
      </c>
    </row>
    <row r="968" spans="1:6">
      <c r="A968" s="60">
        <v>96300</v>
      </c>
      <c r="B968" s="60">
        <f t="shared" si="76"/>
        <v>3103224</v>
      </c>
      <c r="C968" s="60">
        <f t="shared" si="74"/>
        <v>3103224</v>
      </c>
      <c r="D968" s="61">
        <f t="shared" si="75"/>
        <v>1</v>
      </c>
      <c r="E968" s="64">
        <f t="shared" si="77"/>
        <v>310.32241298365801</v>
      </c>
      <c r="F968" s="62" t="str">
        <f t="shared" ref="F968:F1031" si="78">IF(B968&lt;B967,1,"")</f>
        <v/>
      </c>
    </row>
    <row r="969" spans="1:6">
      <c r="A969" s="60">
        <v>96400</v>
      </c>
      <c r="B969" s="60">
        <f t="shared" si="76"/>
        <v>3104835</v>
      </c>
      <c r="C969" s="60">
        <f t="shared" si="74"/>
        <v>3104835</v>
      </c>
      <c r="D969" s="61">
        <f t="shared" si="75"/>
        <v>1</v>
      </c>
      <c r="E969" s="64">
        <f t="shared" si="77"/>
        <v>310.48349392520049</v>
      </c>
      <c r="F969" s="62" t="str">
        <f t="shared" si="78"/>
        <v/>
      </c>
    </row>
    <row r="970" spans="1:6">
      <c r="A970" s="60">
        <v>96500</v>
      </c>
      <c r="B970" s="60">
        <f t="shared" si="76"/>
        <v>3106445</v>
      </c>
      <c r="C970" s="60">
        <f t="shared" si="74"/>
        <v>3106445</v>
      </c>
      <c r="D970" s="61">
        <f t="shared" si="75"/>
        <v>1</v>
      </c>
      <c r="E970" s="64">
        <f t="shared" si="77"/>
        <v>310.64449134018133</v>
      </c>
      <c r="F970" s="62" t="str">
        <f t="shared" si="78"/>
        <v/>
      </c>
    </row>
    <row r="971" spans="1:6">
      <c r="A971" s="60">
        <v>96600</v>
      </c>
      <c r="B971" s="60">
        <f t="shared" si="76"/>
        <v>3108054</v>
      </c>
      <c r="C971" s="60">
        <f t="shared" ref="C971:C1034" si="79">ROUND(D971*E971*10000,0)</f>
        <v>3108054</v>
      </c>
      <c r="D971" s="61">
        <f t="shared" si="75"/>
        <v>1</v>
      </c>
      <c r="E971" s="64">
        <f t="shared" si="77"/>
        <v>310.80540535840106</v>
      </c>
      <c r="F971" s="62" t="str">
        <f t="shared" si="78"/>
        <v/>
      </c>
    </row>
    <row r="972" spans="1:6">
      <c r="A972" s="60">
        <v>96700</v>
      </c>
      <c r="B972" s="60">
        <f t="shared" si="76"/>
        <v>3109662</v>
      </c>
      <c r="C972" s="60">
        <f t="shared" si="79"/>
        <v>3109662</v>
      </c>
      <c r="D972" s="61">
        <f t="shared" si="75"/>
        <v>1</v>
      </c>
      <c r="E972" s="64">
        <f t="shared" si="77"/>
        <v>310.96623610932426</v>
      </c>
      <c r="F972" s="62" t="str">
        <f t="shared" si="78"/>
        <v/>
      </c>
    </row>
    <row r="973" spans="1:6">
      <c r="A973" s="60">
        <v>96800</v>
      </c>
      <c r="B973" s="60">
        <f t="shared" si="76"/>
        <v>3111270</v>
      </c>
      <c r="C973" s="60">
        <f t="shared" si="79"/>
        <v>3111270</v>
      </c>
      <c r="D973" s="61">
        <f t="shared" si="75"/>
        <v>1</v>
      </c>
      <c r="E973" s="64">
        <f t="shared" si="77"/>
        <v>311.12698372208092</v>
      </c>
      <c r="F973" s="62" t="str">
        <f t="shared" si="78"/>
        <v/>
      </c>
    </row>
    <row r="974" spans="1:6">
      <c r="A974" s="60">
        <v>96900</v>
      </c>
      <c r="B974" s="60">
        <f t="shared" si="76"/>
        <v>3112876</v>
      </c>
      <c r="C974" s="60">
        <f t="shared" si="79"/>
        <v>3112876</v>
      </c>
      <c r="D974" s="61">
        <f t="shared" si="75"/>
        <v>1</v>
      </c>
      <c r="E974" s="64">
        <f t="shared" si="77"/>
        <v>311.28764832546761</v>
      </c>
      <c r="F974" s="62" t="str">
        <f t="shared" si="78"/>
        <v/>
      </c>
    </row>
    <row r="975" spans="1:6">
      <c r="A975" s="60">
        <v>97000</v>
      </c>
      <c r="B975" s="60">
        <f t="shared" si="76"/>
        <v>3114482</v>
      </c>
      <c r="C975" s="60">
        <f t="shared" si="79"/>
        <v>3114482</v>
      </c>
      <c r="D975" s="61">
        <f t="shared" si="75"/>
        <v>1</v>
      </c>
      <c r="E975" s="64">
        <f t="shared" si="77"/>
        <v>311.44823004794875</v>
      </c>
      <c r="F975" s="62" t="str">
        <f t="shared" si="78"/>
        <v/>
      </c>
    </row>
    <row r="976" spans="1:6">
      <c r="A976" s="60">
        <v>97100</v>
      </c>
      <c r="B976" s="60">
        <f t="shared" si="76"/>
        <v>3116087</v>
      </c>
      <c r="C976" s="60">
        <f t="shared" si="79"/>
        <v>3116087</v>
      </c>
      <c r="D976" s="61">
        <f t="shared" si="75"/>
        <v>1</v>
      </c>
      <c r="E976" s="64">
        <f t="shared" si="77"/>
        <v>311.60872901765765</v>
      </c>
      <c r="F976" s="62" t="str">
        <f t="shared" si="78"/>
        <v/>
      </c>
    </row>
    <row r="977" spans="1:6">
      <c r="A977" s="60">
        <v>97200</v>
      </c>
      <c r="B977" s="60">
        <f t="shared" si="76"/>
        <v>3117691</v>
      </c>
      <c r="C977" s="60">
        <f t="shared" si="79"/>
        <v>3117691</v>
      </c>
      <c r="D977" s="61">
        <f t="shared" si="75"/>
        <v>1</v>
      </c>
      <c r="E977" s="64">
        <f t="shared" si="77"/>
        <v>311.76914536239792</v>
      </c>
      <c r="F977" s="62" t="str">
        <f t="shared" si="78"/>
        <v/>
      </c>
    </row>
    <row r="978" spans="1:6">
      <c r="A978" s="60">
        <v>97300</v>
      </c>
      <c r="B978" s="60">
        <f t="shared" si="76"/>
        <v>3119295</v>
      </c>
      <c r="C978" s="60">
        <f t="shared" si="79"/>
        <v>3119295</v>
      </c>
      <c r="D978" s="61">
        <f t="shared" si="75"/>
        <v>1</v>
      </c>
      <c r="E978" s="64">
        <f t="shared" si="77"/>
        <v>311.92947920964446</v>
      </c>
      <c r="F978" s="62" t="str">
        <f t="shared" si="78"/>
        <v/>
      </c>
    </row>
    <row r="979" spans="1:6">
      <c r="A979" s="60">
        <v>97400</v>
      </c>
      <c r="B979" s="60">
        <f t="shared" si="76"/>
        <v>3120897</v>
      </c>
      <c r="C979" s="60">
        <f t="shared" si="79"/>
        <v>3120897</v>
      </c>
      <c r="D979" s="61">
        <f t="shared" si="75"/>
        <v>1</v>
      </c>
      <c r="E979" s="64">
        <f t="shared" si="77"/>
        <v>312.08973068654473</v>
      </c>
      <c r="F979" s="62" t="str">
        <f t="shared" si="78"/>
        <v/>
      </c>
    </row>
    <row r="980" spans="1:6">
      <c r="A980" s="60">
        <v>97500</v>
      </c>
      <c r="B980" s="60">
        <f t="shared" si="76"/>
        <v>3122499</v>
      </c>
      <c r="C980" s="60">
        <f t="shared" si="79"/>
        <v>3122499</v>
      </c>
      <c r="D980" s="61">
        <f t="shared" si="75"/>
        <v>1</v>
      </c>
      <c r="E980" s="64">
        <f t="shared" si="77"/>
        <v>312.24989991991993</v>
      </c>
      <c r="F980" s="62" t="str">
        <f t="shared" si="78"/>
        <v/>
      </c>
    </row>
    <row r="981" spans="1:6">
      <c r="A981" s="60">
        <v>97600</v>
      </c>
      <c r="B981" s="60">
        <f t="shared" si="76"/>
        <v>3124100</v>
      </c>
      <c r="C981" s="60">
        <f t="shared" si="79"/>
        <v>3124100</v>
      </c>
      <c r="D981" s="61">
        <f t="shared" si="75"/>
        <v>1</v>
      </c>
      <c r="E981" s="64">
        <f t="shared" si="77"/>
        <v>312.40998703626616</v>
      </c>
      <c r="F981" s="62" t="str">
        <f t="shared" si="78"/>
        <v/>
      </c>
    </row>
    <row r="982" spans="1:6">
      <c r="A982" s="60">
        <v>97700</v>
      </c>
      <c r="B982" s="60">
        <f t="shared" si="76"/>
        <v>3125700</v>
      </c>
      <c r="C982" s="60">
        <f t="shared" si="79"/>
        <v>3125700</v>
      </c>
      <c r="D982" s="61">
        <f t="shared" si="75"/>
        <v>1</v>
      </c>
      <c r="E982" s="64">
        <f t="shared" si="77"/>
        <v>312.56999216175569</v>
      </c>
      <c r="F982" s="62" t="str">
        <f t="shared" si="78"/>
        <v/>
      </c>
    </row>
    <row r="983" spans="1:6">
      <c r="A983" s="60">
        <v>97800</v>
      </c>
      <c r="B983" s="60">
        <f t="shared" si="76"/>
        <v>3127299</v>
      </c>
      <c r="C983" s="60">
        <f t="shared" si="79"/>
        <v>3127299</v>
      </c>
      <c r="D983" s="61">
        <f t="shared" si="75"/>
        <v>1</v>
      </c>
      <c r="E983" s="64">
        <f t="shared" si="77"/>
        <v>312.72991542223781</v>
      </c>
      <c r="F983" s="62" t="str">
        <f t="shared" si="78"/>
        <v/>
      </c>
    </row>
    <row r="984" spans="1:6">
      <c r="A984" s="60">
        <v>97900</v>
      </c>
      <c r="B984" s="60">
        <f t="shared" si="76"/>
        <v>3128898</v>
      </c>
      <c r="C984" s="60">
        <f t="shared" si="79"/>
        <v>3128898</v>
      </c>
      <c r="D984" s="61">
        <f t="shared" si="75"/>
        <v>1</v>
      </c>
      <c r="E984" s="64">
        <f t="shared" si="77"/>
        <v>312.88975694324029</v>
      </c>
      <c r="F984" s="62" t="str">
        <f t="shared" si="78"/>
        <v/>
      </c>
    </row>
    <row r="985" spans="1:6">
      <c r="A985" s="60">
        <v>98000</v>
      </c>
      <c r="B985" s="60">
        <f t="shared" si="76"/>
        <v>3130495</v>
      </c>
      <c r="C985" s="60">
        <f t="shared" si="79"/>
        <v>3130495</v>
      </c>
      <c r="D985" s="61">
        <f t="shared" si="75"/>
        <v>1</v>
      </c>
      <c r="E985" s="64">
        <f t="shared" si="77"/>
        <v>313.04951684997053</v>
      </c>
      <c r="F985" s="62" t="str">
        <f t="shared" si="78"/>
        <v/>
      </c>
    </row>
    <row r="986" spans="1:6">
      <c r="A986" s="60">
        <v>98100</v>
      </c>
      <c r="B986" s="60">
        <f t="shared" si="76"/>
        <v>3132092</v>
      </c>
      <c r="C986" s="60">
        <f t="shared" si="79"/>
        <v>3132092</v>
      </c>
      <c r="D986" s="61">
        <f t="shared" si="75"/>
        <v>1</v>
      </c>
      <c r="E986" s="64">
        <f t="shared" si="77"/>
        <v>313.20919526731649</v>
      </c>
      <c r="F986" s="62" t="str">
        <f t="shared" si="78"/>
        <v/>
      </c>
    </row>
    <row r="987" spans="1:6">
      <c r="A987" s="60">
        <v>98200</v>
      </c>
      <c r="B987" s="60">
        <f t="shared" si="76"/>
        <v>3133688</v>
      </c>
      <c r="C987" s="60">
        <f t="shared" si="79"/>
        <v>3133688</v>
      </c>
      <c r="D987" s="61">
        <f t="shared" si="75"/>
        <v>1</v>
      </c>
      <c r="E987" s="64">
        <f t="shared" si="77"/>
        <v>313.36879231984796</v>
      </c>
      <c r="F987" s="62" t="str">
        <f t="shared" si="78"/>
        <v/>
      </c>
    </row>
    <row r="988" spans="1:6">
      <c r="A988" s="60">
        <v>98300</v>
      </c>
      <c r="B988" s="60">
        <f t="shared" si="76"/>
        <v>3135283</v>
      </c>
      <c r="C988" s="60">
        <f t="shared" si="79"/>
        <v>3135283</v>
      </c>
      <c r="D988" s="61">
        <f t="shared" si="75"/>
        <v>1</v>
      </c>
      <c r="E988" s="64">
        <f t="shared" si="77"/>
        <v>313.52830813181765</v>
      </c>
      <c r="F988" s="62" t="str">
        <f t="shared" si="78"/>
        <v/>
      </c>
    </row>
    <row r="989" spans="1:6">
      <c r="A989" s="60">
        <v>98400</v>
      </c>
      <c r="B989" s="60">
        <f t="shared" si="76"/>
        <v>3136877</v>
      </c>
      <c r="C989" s="60">
        <f t="shared" si="79"/>
        <v>3136877</v>
      </c>
      <c r="D989" s="61">
        <f t="shared" si="75"/>
        <v>1</v>
      </c>
      <c r="E989" s="64">
        <f t="shared" si="77"/>
        <v>313.68774282716242</v>
      </c>
      <c r="F989" s="62" t="str">
        <f t="shared" si="78"/>
        <v/>
      </c>
    </row>
    <row r="990" spans="1:6">
      <c r="A990" s="60">
        <v>98500</v>
      </c>
      <c r="B990" s="60">
        <f t="shared" si="76"/>
        <v>3138471</v>
      </c>
      <c r="C990" s="60">
        <f t="shared" si="79"/>
        <v>3138471</v>
      </c>
      <c r="D990" s="61">
        <f t="shared" si="75"/>
        <v>1</v>
      </c>
      <c r="E990" s="64">
        <f t="shared" si="77"/>
        <v>313.84709652950431</v>
      </c>
      <c r="F990" s="62" t="str">
        <f t="shared" si="78"/>
        <v/>
      </c>
    </row>
    <row r="991" spans="1:6">
      <c r="A991" s="60">
        <v>98600</v>
      </c>
      <c r="B991" s="60">
        <f t="shared" si="76"/>
        <v>3140064</v>
      </c>
      <c r="C991" s="60">
        <f t="shared" si="79"/>
        <v>3140064</v>
      </c>
      <c r="D991" s="61">
        <f t="shared" si="75"/>
        <v>1</v>
      </c>
      <c r="E991" s="64">
        <f t="shared" si="77"/>
        <v>314.00636936215164</v>
      </c>
      <c r="F991" s="62" t="str">
        <f t="shared" si="78"/>
        <v/>
      </c>
    </row>
    <row r="992" spans="1:6">
      <c r="A992" s="60">
        <v>98700</v>
      </c>
      <c r="B992" s="60">
        <f t="shared" si="76"/>
        <v>3141656</v>
      </c>
      <c r="C992" s="60">
        <f t="shared" si="79"/>
        <v>3141656</v>
      </c>
      <c r="D992" s="61">
        <f t="shared" si="75"/>
        <v>1</v>
      </c>
      <c r="E992" s="64">
        <f t="shared" si="77"/>
        <v>314.16556144810016</v>
      </c>
      <c r="F992" s="62" t="str">
        <f t="shared" si="78"/>
        <v/>
      </c>
    </row>
    <row r="993" spans="1:6">
      <c r="A993" s="60">
        <v>98800</v>
      </c>
      <c r="B993" s="60">
        <f t="shared" si="76"/>
        <v>3143247</v>
      </c>
      <c r="C993" s="60">
        <f t="shared" si="79"/>
        <v>3143247</v>
      </c>
      <c r="D993" s="61">
        <f t="shared" si="75"/>
        <v>1</v>
      </c>
      <c r="E993" s="64">
        <f t="shared" si="77"/>
        <v>314.32467291003422</v>
      </c>
      <c r="F993" s="62" t="str">
        <f t="shared" si="78"/>
        <v/>
      </c>
    </row>
    <row r="994" spans="1:6">
      <c r="A994" s="60">
        <v>98900</v>
      </c>
      <c r="B994" s="60">
        <f t="shared" si="76"/>
        <v>3144837</v>
      </c>
      <c r="C994" s="60">
        <f t="shared" si="79"/>
        <v>3144837</v>
      </c>
      <c r="D994" s="61">
        <f t="shared" si="75"/>
        <v>1</v>
      </c>
      <c r="E994" s="64">
        <f t="shared" si="77"/>
        <v>314.48370387032776</v>
      </c>
      <c r="F994" s="62" t="str">
        <f t="shared" si="78"/>
        <v/>
      </c>
    </row>
    <row r="995" spans="1:6">
      <c r="A995" s="60">
        <v>99000</v>
      </c>
      <c r="B995" s="60">
        <f t="shared" si="76"/>
        <v>3146427</v>
      </c>
      <c r="C995" s="60">
        <f t="shared" si="79"/>
        <v>3146427</v>
      </c>
      <c r="D995" s="61">
        <f t="shared" si="75"/>
        <v>1</v>
      </c>
      <c r="E995" s="64">
        <f t="shared" si="77"/>
        <v>314.64265445104547</v>
      </c>
      <c r="F995" s="62" t="str">
        <f t="shared" si="78"/>
        <v/>
      </c>
    </row>
    <row r="996" spans="1:6">
      <c r="A996" s="60">
        <v>99100</v>
      </c>
      <c r="B996" s="60">
        <f t="shared" si="76"/>
        <v>3148015</v>
      </c>
      <c r="C996" s="60">
        <f t="shared" si="79"/>
        <v>3148015</v>
      </c>
      <c r="D996" s="61">
        <f t="shared" si="75"/>
        <v>1</v>
      </c>
      <c r="E996" s="64">
        <f t="shared" si="77"/>
        <v>314.80152477394387</v>
      </c>
      <c r="F996" s="62" t="str">
        <f t="shared" si="78"/>
        <v/>
      </c>
    </row>
    <row r="997" spans="1:6">
      <c r="A997" s="60">
        <v>99200</v>
      </c>
      <c r="B997" s="60">
        <f t="shared" si="76"/>
        <v>3149603</v>
      </c>
      <c r="C997" s="60">
        <f t="shared" si="79"/>
        <v>3149603</v>
      </c>
      <c r="D997" s="61">
        <f t="shared" si="75"/>
        <v>1</v>
      </c>
      <c r="E997" s="64">
        <f t="shared" si="77"/>
        <v>314.96031496047243</v>
      </c>
      <c r="F997" s="62" t="str">
        <f t="shared" si="78"/>
        <v/>
      </c>
    </row>
    <row r="998" spans="1:6">
      <c r="A998" s="60">
        <v>99300</v>
      </c>
      <c r="B998" s="60">
        <f t="shared" si="76"/>
        <v>3151190</v>
      </c>
      <c r="C998" s="60">
        <f t="shared" si="79"/>
        <v>3151190</v>
      </c>
      <c r="D998" s="61">
        <f t="shared" si="75"/>
        <v>1</v>
      </c>
      <c r="E998" s="64">
        <f t="shared" si="77"/>
        <v>315.11902513177461</v>
      </c>
      <c r="F998" s="62" t="str">
        <f t="shared" si="78"/>
        <v/>
      </c>
    </row>
    <row r="999" spans="1:6">
      <c r="A999" s="60">
        <v>99400</v>
      </c>
      <c r="B999" s="60">
        <f t="shared" si="76"/>
        <v>3152777</v>
      </c>
      <c r="C999" s="60">
        <f t="shared" si="79"/>
        <v>3152777</v>
      </c>
      <c r="D999" s="61">
        <f t="shared" si="75"/>
        <v>1</v>
      </c>
      <c r="E999" s="64">
        <f t="shared" si="77"/>
        <v>315.27765540868893</v>
      </c>
      <c r="F999" s="62" t="str">
        <f t="shared" si="78"/>
        <v/>
      </c>
    </row>
    <row r="1000" spans="1:6">
      <c r="A1000" s="60">
        <v>99500</v>
      </c>
      <c r="B1000" s="60">
        <f t="shared" si="76"/>
        <v>3154362</v>
      </c>
      <c r="C1000" s="60">
        <f t="shared" si="79"/>
        <v>3154362</v>
      </c>
      <c r="D1000" s="61">
        <f t="shared" si="75"/>
        <v>1</v>
      </c>
      <c r="E1000" s="64">
        <f t="shared" si="77"/>
        <v>315.43620591175011</v>
      </c>
      <c r="F1000" s="62" t="str">
        <f t="shared" si="78"/>
        <v/>
      </c>
    </row>
    <row r="1001" spans="1:6">
      <c r="A1001" s="60">
        <v>99600</v>
      </c>
      <c r="B1001" s="60">
        <f t="shared" si="76"/>
        <v>3155947</v>
      </c>
      <c r="C1001" s="60">
        <f t="shared" si="79"/>
        <v>3155947</v>
      </c>
      <c r="D1001" s="61">
        <f t="shared" si="75"/>
        <v>1</v>
      </c>
      <c r="E1001" s="64">
        <f t="shared" si="77"/>
        <v>315.59467676118999</v>
      </c>
      <c r="F1001" s="62" t="str">
        <f t="shared" si="78"/>
        <v/>
      </c>
    </row>
    <row r="1002" spans="1:6">
      <c r="A1002" s="60">
        <v>99700</v>
      </c>
      <c r="B1002" s="60">
        <f t="shared" si="76"/>
        <v>3157531</v>
      </c>
      <c r="C1002" s="60">
        <f t="shared" si="79"/>
        <v>3157531</v>
      </c>
      <c r="D1002" s="61">
        <f t="shared" si="75"/>
        <v>1</v>
      </c>
      <c r="E1002" s="64">
        <f t="shared" si="77"/>
        <v>315.75306807693886</v>
      </c>
      <c r="F1002" s="62" t="str">
        <f t="shared" si="78"/>
        <v/>
      </c>
    </row>
    <row r="1003" spans="1:6">
      <c r="A1003" s="60">
        <v>99800</v>
      </c>
      <c r="B1003" s="60">
        <f t="shared" si="76"/>
        <v>3159114</v>
      </c>
      <c r="C1003" s="60">
        <f t="shared" si="79"/>
        <v>3159114</v>
      </c>
      <c r="D1003" s="61">
        <f t="shared" si="75"/>
        <v>1</v>
      </c>
      <c r="E1003" s="64">
        <f t="shared" si="77"/>
        <v>315.91137997862626</v>
      </c>
      <c r="F1003" s="62" t="str">
        <f t="shared" si="78"/>
        <v/>
      </c>
    </row>
    <row r="1004" spans="1:6">
      <c r="A1004" s="60">
        <v>99900</v>
      </c>
      <c r="B1004" s="60">
        <f t="shared" si="76"/>
        <v>3160696</v>
      </c>
      <c r="C1004" s="60">
        <f t="shared" si="79"/>
        <v>3160696</v>
      </c>
      <c r="D1004" s="61">
        <f t="shared" si="75"/>
        <v>1</v>
      </c>
      <c r="E1004" s="64">
        <f t="shared" si="77"/>
        <v>316.06961258558215</v>
      </c>
      <c r="F1004" s="62" t="str">
        <f t="shared" si="78"/>
        <v/>
      </c>
    </row>
    <row r="1005" spans="1:6">
      <c r="A1005" s="60">
        <v>100000</v>
      </c>
      <c r="B1005" s="60">
        <f t="shared" si="76"/>
        <v>3162278</v>
      </c>
      <c r="C1005" s="60">
        <f t="shared" si="79"/>
        <v>3162278</v>
      </c>
      <c r="D1005" s="61">
        <f t="shared" si="75"/>
        <v>1</v>
      </c>
      <c r="E1005" s="64">
        <f t="shared" si="77"/>
        <v>316.22776601683796</v>
      </c>
      <c r="F1005" s="62" t="str">
        <f t="shared" si="78"/>
        <v/>
      </c>
    </row>
    <row r="1006" spans="1:6">
      <c r="A1006" s="60">
        <v>100100</v>
      </c>
      <c r="B1006" s="60">
        <f t="shared" si="76"/>
        <v>3163858</v>
      </c>
      <c r="C1006" s="60">
        <f t="shared" si="79"/>
        <v>3163858</v>
      </c>
      <c r="D1006" s="61">
        <f t="shared" si="75"/>
        <v>1</v>
      </c>
      <c r="E1006" s="64">
        <f t="shared" si="77"/>
        <v>316.38584039112749</v>
      </c>
      <c r="F1006" s="62" t="str">
        <f t="shared" si="78"/>
        <v/>
      </c>
    </row>
    <row r="1007" spans="1:6">
      <c r="A1007" s="60">
        <v>100200</v>
      </c>
      <c r="B1007" s="60">
        <f t="shared" si="76"/>
        <v>3165438</v>
      </c>
      <c r="C1007" s="60">
        <f t="shared" si="79"/>
        <v>3165438</v>
      </c>
      <c r="D1007" s="61">
        <f t="shared" si="75"/>
        <v>1</v>
      </c>
      <c r="E1007" s="64">
        <f t="shared" si="77"/>
        <v>316.54383582688826</v>
      </c>
      <c r="F1007" s="62" t="str">
        <f t="shared" si="78"/>
        <v/>
      </c>
    </row>
    <row r="1008" spans="1:6">
      <c r="A1008" s="60">
        <v>100300</v>
      </c>
      <c r="B1008" s="60">
        <f t="shared" si="76"/>
        <v>3167018</v>
      </c>
      <c r="C1008" s="60">
        <f t="shared" si="79"/>
        <v>3167018</v>
      </c>
      <c r="D1008" s="61">
        <f t="shared" si="75"/>
        <v>1</v>
      </c>
      <c r="E1008" s="64">
        <f t="shared" si="77"/>
        <v>316.70175244226232</v>
      </c>
      <c r="F1008" s="62" t="str">
        <f t="shared" si="78"/>
        <v/>
      </c>
    </row>
    <row r="1009" spans="1:6">
      <c r="A1009" s="60">
        <v>100400</v>
      </c>
      <c r="B1009" s="60">
        <f t="shared" si="76"/>
        <v>3168596</v>
      </c>
      <c r="C1009" s="60">
        <f t="shared" si="79"/>
        <v>3168596</v>
      </c>
      <c r="D1009" s="61">
        <f t="shared" si="75"/>
        <v>1</v>
      </c>
      <c r="E1009" s="64">
        <f t="shared" si="77"/>
        <v>316.85959035509717</v>
      </c>
      <c r="F1009" s="62" t="str">
        <f t="shared" si="78"/>
        <v/>
      </c>
    </row>
    <row r="1010" spans="1:6">
      <c r="A1010" s="60">
        <v>100500</v>
      </c>
      <c r="B1010" s="60">
        <f t="shared" si="76"/>
        <v>3170173</v>
      </c>
      <c r="C1010" s="60">
        <f t="shared" si="79"/>
        <v>3170173</v>
      </c>
      <c r="D1010" s="61">
        <f t="shared" si="75"/>
        <v>1</v>
      </c>
      <c r="E1010" s="64">
        <f t="shared" si="77"/>
        <v>317.01734968294716</v>
      </c>
      <c r="F1010" s="62" t="str">
        <f t="shared" si="78"/>
        <v/>
      </c>
    </row>
    <row r="1011" spans="1:6">
      <c r="A1011" s="60">
        <v>100600</v>
      </c>
      <c r="B1011" s="60">
        <f t="shared" si="76"/>
        <v>3171750</v>
      </c>
      <c r="C1011" s="60">
        <f t="shared" si="79"/>
        <v>3171750</v>
      </c>
      <c r="D1011" s="61">
        <f t="shared" si="75"/>
        <v>1</v>
      </c>
      <c r="E1011" s="64">
        <f t="shared" si="77"/>
        <v>317.17503054307412</v>
      </c>
      <c r="F1011" s="62" t="str">
        <f t="shared" si="78"/>
        <v/>
      </c>
    </row>
    <row r="1012" spans="1:6">
      <c r="A1012" s="60">
        <v>100700</v>
      </c>
      <c r="B1012" s="60">
        <f t="shared" si="76"/>
        <v>3173326</v>
      </c>
      <c r="C1012" s="60">
        <f t="shared" si="79"/>
        <v>3173326</v>
      </c>
      <c r="D1012" s="61">
        <f t="shared" si="75"/>
        <v>1</v>
      </c>
      <c r="E1012" s="64">
        <f t="shared" si="77"/>
        <v>317.33263305244861</v>
      </c>
      <c r="F1012" s="62" t="str">
        <f t="shared" si="78"/>
        <v/>
      </c>
    </row>
    <row r="1013" spans="1:6">
      <c r="A1013" s="60">
        <v>100800</v>
      </c>
      <c r="B1013" s="60">
        <f t="shared" si="76"/>
        <v>3174902</v>
      </c>
      <c r="C1013" s="60">
        <f t="shared" si="79"/>
        <v>3174902</v>
      </c>
      <c r="D1013" s="61">
        <f t="shared" si="75"/>
        <v>1</v>
      </c>
      <c r="E1013" s="64">
        <f t="shared" si="77"/>
        <v>317.49015732775086</v>
      </c>
      <c r="F1013" s="62" t="str">
        <f t="shared" si="78"/>
        <v/>
      </c>
    </row>
    <row r="1014" spans="1:6">
      <c r="A1014" s="60">
        <v>100900</v>
      </c>
      <c r="B1014" s="60">
        <f t="shared" si="76"/>
        <v>3176476</v>
      </c>
      <c r="C1014" s="60">
        <f t="shared" si="79"/>
        <v>3176476</v>
      </c>
      <c r="D1014" s="61">
        <f t="shared" si="75"/>
        <v>1</v>
      </c>
      <c r="E1014" s="64">
        <f t="shared" si="77"/>
        <v>317.6476034853718</v>
      </c>
      <c r="F1014" s="62" t="str">
        <f t="shared" si="78"/>
        <v/>
      </c>
    </row>
    <row r="1015" spans="1:6">
      <c r="A1015" s="60">
        <v>101000</v>
      </c>
      <c r="B1015" s="60">
        <f t="shared" si="76"/>
        <v>3178050</v>
      </c>
      <c r="C1015" s="60">
        <f t="shared" si="79"/>
        <v>3178050</v>
      </c>
      <c r="D1015" s="61">
        <f t="shared" si="75"/>
        <v>1</v>
      </c>
      <c r="E1015" s="64">
        <f t="shared" si="77"/>
        <v>317.80497164141406</v>
      </c>
      <c r="F1015" s="62" t="str">
        <f t="shared" si="78"/>
        <v/>
      </c>
    </row>
    <row r="1016" spans="1:6">
      <c r="A1016" s="60">
        <v>101100</v>
      </c>
      <c r="B1016" s="60">
        <f t="shared" si="76"/>
        <v>3179623</v>
      </c>
      <c r="C1016" s="60">
        <f t="shared" si="79"/>
        <v>3179623</v>
      </c>
      <c r="D1016" s="61">
        <f t="shared" si="75"/>
        <v>1</v>
      </c>
      <c r="E1016" s="64">
        <f t="shared" si="77"/>
        <v>317.96226191169291</v>
      </c>
      <c r="F1016" s="62" t="str">
        <f t="shared" si="78"/>
        <v/>
      </c>
    </row>
    <row r="1017" spans="1:6">
      <c r="A1017" s="60">
        <v>101200</v>
      </c>
      <c r="B1017" s="60">
        <f t="shared" si="76"/>
        <v>3181195</v>
      </c>
      <c r="C1017" s="60">
        <f t="shared" si="79"/>
        <v>3181195</v>
      </c>
      <c r="D1017" s="61">
        <f t="shared" si="75"/>
        <v>1</v>
      </c>
      <c r="E1017" s="64">
        <f t="shared" si="77"/>
        <v>318.11947441173731</v>
      </c>
      <c r="F1017" s="62" t="str">
        <f t="shared" si="78"/>
        <v/>
      </c>
    </row>
    <row r="1018" spans="1:6">
      <c r="A1018" s="60">
        <v>101300</v>
      </c>
      <c r="B1018" s="60">
        <f t="shared" si="76"/>
        <v>3182766</v>
      </c>
      <c r="C1018" s="60">
        <f t="shared" si="79"/>
        <v>3182766</v>
      </c>
      <c r="D1018" s="61">
        <f t="shared" si="75"/>
        <v>1</v>
      </c>
      <c r="E1018" s="64">
        <f t="shared" si="77"/>
        <v>318.27660925679095</v>
      </c>
      <c r="F1018" s="62" t="str">
        <f t="shared" si="78"/>
        <v/>
      </c>
    </row>
    <row r="1019" spans="1:6">
      <c r="A1019" s="60">
        <v>101400</v>
      </c>
      <c r="B1019" s="60">
        <f t="shared" si="76"/>
        <v>3184337</v>
      </c>
      <c r="C1019" s="60">
        <f t="shared" si="79"/>
        <v>3184337</v>
      </c>
      <c r="D1019" s="61">
        <f t="shared" si="75"/>
        <v>1</v>
      </c>
      <c r="E1019" s="64">
        <f t="shared" si="77"/>
        <v>318.43366656181314</v>
      </c>
      <c r="F1019" s="62" t="str">
        <f t="shared" si="78"/>
        <v/>
      </c>
    </row>
    <row r="1020" spans="1:6">
      <c r="A1020" s="60">
        <v>101500</v>
      </c>
      <c r="B1020" s="60">
        <f t="shared" si="76"/>
        <v>3185906</v>
      </c>
      <c r="C1020" s="60">
        <f t="shared" si="79"/>
        <v>3185906</v>
      </c>
      <c r="D1020" s="61">
        <f t="shared" si="75"/>
        <v>1</v>
      </c>
      <c r="E1020" s="64">
        <f t="shared" si="77"/>
        <v>318.59064644147981</v>
      </c>
      <c r="F1020" s="62" t="str">
        <f t="shared" si="78"/>
        <v/>
      </c>
    </row>
    <row r="1021" spans="1:6">
      <c r="A1021" s="60">
        <v>101600</v>
      </c>
      <c r="B1021" s="60">
        <f t="shared" si="76"/>
        <v>3187475</v>
      </c>
      <c r="C1021" s="60">
        <f t="shared" si="79"/>
        <v>3187475</v>
      </c>
      <c r="D1021" s="61">
        <f t="shared" si="75"/>
        <v>1</v>
      </c>
      <c r="E1021" s="64">
        <f t="shared" si="77"/>
        <v>318.74754901018457</v>
      </c>
      <c r="F1021" s="62" t="str">
        <f t="shared" si="78"/>
        <v/>
      </c>
    </row>
    <row r="1022" spans="1:6">
      <c r="A1022" s="60">
        <v>101700</v>
      </c>
      <c r="B1022" s="60">
        <f t="shared" si="76"/>
        <v>3189044</v>
      </c>
      <c r="C1022" s="60">
        <f t="shared" si="79"/>
        <v>3189044</v>
      </c>
      <c r="D1022" s="61">
        <f t="shared" si="75"/>
        <v>1</v>
      </c>
      <c r="E1022" s="64">
        <f t="shared" si="77"/>
        <v>318.90437438203946</v>
      </c>
      <c r="F1022" s="62" t="str">
        <f t="shared" si="78"/>
        <v/>
      </c>
    </row>
    <row r="1023" spans="1:6">
      <c r="A1023" s="60">
        <v>101800</v>
      </c>
      <c r="B1023" s="60">
        <f t="shared" si="76"/>
        <v>3190611</v>
      </c>
      <c r="C1023" s="60">
        <f t="shared" si="79"/>
        <v>3190611</v>
      </c>
      <c r="D1023" s="61">
        <f t="shared" si="75"/>
        <v>1</v>
      </c>
      <c r="E1023" s="64">
        <f t="shared" si="77"/>
        <v>319.06112267087633</v>
      </c>
      <c r="F1023" s="62" t="str">
        <f t="shared" si="78"/>
        <v/>
      </c>
    </row>
    <row r="1024" spans="1:6">
      <c r="A1024" s="60">
        <v>101900</v>
      </c>
      <c r="B1024" s="60">
        <f t="shared" si="76"/>
        <v>3192178</v>
      </c>
      <c r="C1024" s="60">
        <f t="shared" si="79"/>
        <v>3192178</v>
      </c>
      <c r="D1024" s="61">
        <f t="shared" si="75"/>
        <v>1</v>
      </c>
      <c r="E1024" s="64">
        <f t="shared" si="77"/>
        <v>319.21779399024734</v>
      </c>
      <c r="F1024" s="62" t="str">
        <f t="shared" si="78"/>
        <v/>
      </c>
    </row>
    <row r="1025" spans="1:6">
      <c r="A1025" s="60">
        <v>102000</v>
      </c>
      <c r="B1025" s="60">
        <f t="shared" si="76"/>
        <v>3193744</v>
      </c>
      <c r="C1025" s="60">
        <f t="shared" si="79"/>
        <v>3193744</v>
      </c>
      <c r="D1025" s="61">
        <f t="shared" si="75"/>
        <v>1</v>
      </c>
      <c r="E1025" s="64">
        <f t="shared" si="77"/>
        <v>319.37438845342626</v>
      </c>
      <c r="F1025" s="62" t="str">
        <f t="shared" si="78"/>
        <v/>
      </c>
    </row>
    <row r="1026" spans="1:6">
      <c r="A1026" s="60">
        <v>102100</v>
      </c>
      <c r="B1026" s="60">
        <f t="shared" si="76"/>
        <v>3195309</v>
      </c>
      <c r="C1026" s="60">
        <f t="shared" si="79"/>
        <v>3195309</v>
      </c>
      <c r="D1026" s="61">
        <f t="shared" si="75"/>
        <v>1</v>
      </c>
      <c r="E1026" s="64">
        <f t="shared" si="77"/>
        <v>319.53090617340916</v>
      </c>
      <c r="F1026" s="62" t="str">
        <f t="shared" si="78"/>
        <v/>
      </c>
    </row>
    <row r="1027" spans="1:6">
      <c r="A1027" s="60">
        <v>102200</v>
      </c>
      <c r="B1027" s="60">
        <f t="shared" si="76"/>
        <v>3196873</v>
      </c>
      <c r="C1027" s="60">
        <f t="shared" si="79"/>
        <v>3196873</v>
      </c>
      <c r="D1027" s="61">
        <f t="shared" si="75"/>
        <v>1</v>
      </c>
      <c r="E1027" s="64">
        <f t="shared" si="77"/>
        <v>319.68734726291564</v>
      </c>
      <c r="F1027" s="62" t="str">
        <f t="shared" si="78"/>
        <v/>
      </c>
    </row>
    <row r="1028" spans="1:6">
      <c r="A1028" s="60">
        <v>102300</v>
      </c>
      <c r="B1028" s="60">
        <f t="shared" si="76"/>
        <v>3198437</v>
      </c>
      <c r="C1028" s="60">
        <f t="shared" si="79"/>
        <v>3198437</v>
      </c>
      <c r="D1028" s="61">
        <f t="shared" si="75"/>
        <v>1</v>
      </c>
      <c r="E1028" s="64">
        <f t="shared" si="77"/>
        <v>319.84371183438952</v>
      </c>
      <c r="F1028" s="62" t="str">
        <f t="shared" si="78"/>
        <v/>
      </c>
    </row>
    <row r="1029" spans="1:6">
      <c r="A1029" s="60">
        <v>102400</v>
      </c>
      <c r="B1029" s="60">
        <f t="shared" si="76"/>
        <v>3200000</v>
      </c>
      <c r="C1029" s="60">
        <f t="shared" si="79"/>
        <v>3200000</v>
      </c>
      <c r="D1029" s="61">
        <f t="shared" ref="D1029:D1092" si="80">(A1029-INDEX(兵力区间,MATCH(A1029,兵力区间,1)))/(INDEX(兵力区间,MATCH(A1029,兵力区间,1)+1)-INDEX(兵力区间,MATCH(A1029,兵力区间,1)))*((INDEX(兵力调节,MATCH(A1029,兵力区间,1)+1,2)-INDEX(兵力调节,MATCH(A1029,兵力区间,1),2)))+INDEX(兵力调节,MATCH(A1029,兵力区间,1),2)</f>
        <v>1</v>
      </c>
      <c r="E1029" s="64">
        <f t="shared" si="77"/>
        <v>320</v>
      </c>
      <c r="F1029" s="62" t="str">
        <f t="shared" si="78"/>
        <v/>
      </c>
    </row>
    <row r="1030" spans="1:6">
      <c r="A1030" s="60">
        <v>102500</v>
      </c>
      <c r="B1030" s="60">
        <f t="shared" si="76"/>
        <v>3201562</v>
      </c>
      <c r="C1030" s="60">
        <f t="shared" si="79"/>
        <v>3201562</v>
      </c>
      <c r="D1030" s="61">
        <f t="shared" si="80"/>
        <v>1</v>
      </c>
      <c r="E1030" s="64">
        <f t="shared" si="77"/>
        <v>320.15621187164243</v>
      </c>
      <c r="F1030" s="62" t="str">
        <f t="shared" si="78"/>
        <v/>
      </c>
    </row>
    <row r="1031" spans="1:6">
      <c r="A1031" s="60">
        <v>102600</v>
      </c>
      <c r="B1031" s="60">
        <f t="shared" ref="B1031:B1094" si="81">ROUND(D1031*E1031*10000,0)</f>
        <v>3203123</v>
      </c>
      <c r="C1031" s="60">
        <f t="shared" si="79"/>
        <v>3203123</v>
      </c>
      <c r="D1031" s="61">
        <f t="shared" si="80"/>
        <v>1</v>
      </c>
      <c r="E1031" s="64">
        <f t="shared" ref="E1031:E1094" si="82">A1031^0.5</f>
        <v>320.31234756093932</v>
      </c>
      <c r="F1031" s="62" t="str">
        <f t="shared" si="78"/>
        <v/>
      </c>
    </row>
    <row r="1032" spans="1:6">
      <c r="A1032" s="60">
        <v>102700</v>
      </c>
      <c r="B1032" s="60">
        <f t="shared" si="81"/>
        <v>3204684</v>
      </c>
      <c r="C1032" s="60">
        <f t="shared" si="79"/>
        <v>3204684</v>
      </c>
      <c r="D1032" s="61">
        <f t="shared" si="80"/>
        <v>1</v>
      </c>
      <c r="E1032" s="64">
        <f t="shared" si="82"/>
        <v>320.4684071792413</v>
      </c>
      <c r="F1032" s="62" t="str">
        <f t="shared" ref="F1032:F1095" si="83">IF(B1032&lt;B1031,1,"")</f>
        <v/>
      </c>
    </row>
    <row r="1033" spans="1:6">
      <c r="A1033" s="60">
        <v>102800</v>
      </c>
      <c r="B1033" s="60">
        <f t="shared" si="81"/>
        <v>3206244</v>
      </c>
      <c r="C1033" s="60">
        <f t="shared" si="79"/>
        <v>3206244</v>
      </c>
      <c r="D1033" s="61">
        <f t="shared" si="80"/>
        <v>1</v>
      </c>
      <c r="E1033" s="64">
        <f t="shared" si="82"/>
        <v>320.62439083762797</v>
      </c>
      <c r="F1033" s="62" t="str">
        <f t="shared" si="83"/>
        <v/>
      </c>
    </row>
    <row r="1034" spans="1:6">
      <c r="A1034" s="60">
        <v>102900</v>
      </c>
      <c r="B1034" s="60">
        <f t="shared" si="81"/>
        <v>3207803</v>
      </c>
      <c r="C1034" s="60">
        <f t="shared" si="79"/>
        <v>3207803</v>
      </c>
      <c r="D1034" s="61">
        <f t="shared" si="80"/>
        <v>1</v>
      </c>
      <c r="E1034" s="64">
        <f t="shared" si="82"/>
        <v>320.78029864690882</v>
      </c>
      <c r="F1034" s="62" t="str">
        <f t="shared" si="83"/>
        <v/>
      </c>
    </row>
    <row r="1035" spans="1:6">
      <c r="A1035" s="60">
        <v>103000</v>
      </c>
      <c r="B1035" s="60">
        <f t="shared" si="81"/>
        <v>3209361</v>
      </c>
      <c r="C1035" s="60">
        <f t="shared" ref="C1035:C1098" si="84">ROUND(D1035*E1035*10000,0)</f>
        <v>3209361</v>
      </c>
      <c r="D1035" s="61">
        <f t="shared" si="80"/>
        <v>1</v>
      </c>
      <c r="E1035" s="64">
        <f t="shared" si="82"/>
        <v>320.93613071762422</v>
      </c>
      <c r="F1035" s="62" t="str">
        <f t="shared" si="83"/>
        <v/>
      </c>
    </row>
    <row r="1036" spans="1:6">
      <c r="A1036" s="60">
        <v>103100</v>
      </c>
      <c r="B1036" s="60">
        <f t="shared" si="81"/>
        <v>3210919</v>
      </c>
      <c r="C1036" s="60">
        <f t="shared" si="84"/>
        <v>3210919</v>
      </c>
      <c r="D1036" s="61">
        <f t="shared" si="80"/>
        <v>1</v>
      </c>
      <c r="E1036" s="64">
        <f t="shared" si="82"/>
        <v>321.09188716004644</v>
      </c>
      <c r="F1036" s="62" t="str">
        <f t="shared" si="83"/>
        <v/>
      </c>
    </row>
    <row r="1037" spans="1:6">
      <c r="A1037" s="60">
        <v>103200</v>
      </c>
      <c r="B1037" s="60">
        <f t="shared" si="81"/>
        <v>3212476</v>
      </c>
      <c r="C1037" s="60">
        <f t="shared" si="84"/>
        <v>3212476</v>
      </c>
      <c r="D1037" s="61">
        <f t="shared" si="80"/>
        <v>1</v>
      </c>
      <c r="E1037" s="64">
        <f t="shared" si="82"/>
        <v>321.24756808418022</v>
      </c>
      <c r="F1037" s="62" t="str">
        <f t="shared" si="83"/>
        <v/>
      </c>
    </row>
    <row r="1038" spans="1:6">
      <c r="A1038" s="60">
        <v>103300</v>
      </c>
      <c r="B1038" s="60">
        <f t="shared" si="81"/>
        <v>3214032</v>
      </c>
      <c r="C1038" s="60">
        <f t="shared" si="84"/>
        <v>3214032</v>
      </c>
      <c r="D1038" s="61">
        <f t="shared" si="80"/>
        <v>1</v>
      </c>
      <c r="E1038" s="64">
        <f t="shared" si="82"/>
        <v>321.40317359976393</v>
      </c>
      <c r="F1038" s="62" t="str">
        <f t="shared" si="83"/>
        <v/>
      </c>
    </row>
    <row r="1039" spans="1:6">
      <c r="A1039" s="60">
        <v>103400</v>
      </c>
      <c r="B1039" s="60">
        <f t="shared" si="81"/>
        <v>3215587</v>
      </c>
      <c r="C1039" s="60">
        <f t="shared" si="84"/>
        <v>3215587</v>
      </c>
      <c r="D1039" s="61">
        <f t="shared" si="80"/>
        <v>1</v>
      </c>
      <c r="E1039" s="64">
        <f t="shared" si="82"/>
        <v>321.55870381627057</v>
      </c>
      <c r="F1039" s="62" t="str">
        <f t="shared" si="83"/>
        <v/>
      </c>
    </row>
    <row r="1040" spans="1:6">
      <c r="A1040" s="60">
        <v>103500</v>
      </c>
      <c r="B1040" s="60">
        <f t="shared" si="81"/>
        <v>3217142</v>
      </c>
      <c r="C1040" s="60">
        <f t="shared" si="84"/>
        <v>3217142</v>
      </c>
      <c r="D1040" s="61">
        <f t="shared" si="80"/>
        <v>1</v>
      </c>
      <c r="E1040" s="64">
        <f t="shared" si="82"/>
        <v>321.71415884290826</v>
      </c>
      <c r="F1040" s="62" t="str">
        <f t="shared" si="83"/>
        <v/>
      </c>
    </row>
    <row r="1041" spans="1:6">
      <c r="A1041" s="60">
        <v>103600</v>
      </c>
      <c r="B1041" s="60">
        <f t="shared" si="81"/>
        <v>3218695</v>
      </c>
      <c r="C1041" s="60">
        <f t="shared" si="84"/>
        <v>3218695</v>
      </c>
      <c r="D1041" s="61">
        <f t="shared" si="80"/>
        <v>1</v>
      </c>
      <c r="E1041" s="64">
        <f t="shared" si="82"/>
        <v>321.86953878862164</v>
      </c>
      <c r="F1041" s="62" t="str">
        <f t="shared" si="83"/>
        <v/>
      </c>
    </row>
    <row r="1042" spans="1:6">
      <c r="A1042" s="60">
        <v>103700</v>
      </c>
      <c r="B1042" s="60">
        <f t="shared" si="81"/>
        <v>3220248</v>
      </c>
      <c r="C1042" s="60">
        <f t="shared" si="84"/>
        <v>3220248</v>
      </c>
      <c r="D1042" s="61">
        <f t="shared" si="80"/>
        <v>1</v>
      </c>
      <c r="E1042" s="64">
        <f t="shared" si="82"/>
        <v>322.02484376209236</v>
      </c>
      <c r="F1042" s="62" t="str">
        <f t="shared" si="83"/>
        <v/>
      </c>
    </row>
    <row r="1043" spans="1:6">
      <c r="A1043" s="60">
        <v>103800</v>
      </c>
      <c r="B1043" s="60">
        <f t="shared" si="81"/>
        <v>3221801</v>
      </c>
      <c r="C1043" s="60">
        <f t="shared" si="84"/>
        <v>3221801</v>
      </c>
      <c r="D1043" s="61">
        <f t="shared" si="80"/>
        <v>1</v>
      </c>
      <c r="E1043" s="64">
        <f t="shared" si="82"/>
        <v>322.18007387174026</v>
      </c>
      <c r="F1043" s="62" t="str">
        <f t="shared" si="83"/>
        <v/>
      </c>
    </row>
    <row r="1044" spans="1:6">
      <c r="A1044" s="60">
        <v>103900</v>
      </c>
      <c r="B1044" s="60">
        <f t="shared" si="81"/>
        <v>3223352</v>
      </c>
      <c r="C1044" s="60">
        <f t="shared" si="84"/>
        <v>3223352</v>
      </c>
      <c r="D1044" s="61">
        <f t="shared" si="80"/>
        <v>1</v>
      </c>
      <c r="E1044" s="64">
        <f t="shared" si="82"/>
        <v>322.33522922572394</v>
      </c>
      <c r="F1044" s="62" t="str">
        <f t="shared" si="83"/>
        <v/>
      </c>
    </row>
    <row r="1045" spans="1:6">
      <c r="A1045" s="60">
        <v>104000</v>
      </c>
      <c r="B1045" s="60">
        <f t="shared" si="81"/>
        <v>3224903</v>
      </c>
      <c r="C1045" s="60">
        <f t="shared" si="84"/>
        <v>3224903</v>
      </c>
      <c r="D1045" s="61">
        <f t="shared" si="80"/>
        <v>1</v>
      </c>
      <c r="E1045" s="64">
        <f t="shared" si="82"/>
        <v>322.49030993194197</v>
      </c>
      <c r="F1045" s="62" t="str">
        <f t="shared" si="83"/>
        <v/>
      </c>
    </row>
    <row r="1046" spans="1:6">
      <c r="A1046" s="60">
        <v>104100</v>
      </c>
      <c r="B1046" s="60">
        <f t="shared" si="81"/>
        <v>3226453</v>
      </c>
      <c r="C1046" s="60">
        <f t="shared" si="84"/>
        <v>3226453</v>
      </c>
      <c r="D1046" s="61">
        <f t="shared" si="80"/>
        <v>1</v>
      </c>
      <c r="E1046" s="64">
        <f t="shared" si="82"/>
        <v>322.64531609803356</v>
      </c>
      <c r="F1046" s="62" t="str">
        <f t="shared" si="83"/>
        <v/>
      </c>
    </row>
    <row r="1047" spans="1:6">
      <c r="A1047" s="60">
        <v>104200</v>
      </c>
      <c r="B1047" s="60">
        <f t="shared" si="81"/>
        <v>3228002</v>
      </c>
      <c r="C1047" s="60">
        <f t="shared" si="84"/>
        <v>3228002</v>
      </c>
      <c r="D1047" s="61">
        <f t="shared" si="80"/>
        <v>1</v>
      </c>
      <c r="E1047" s="64">
        <f t="shared" si="82"/>
        <v>322.80024783137947</v>
      </c>
      <c r="F1047" s="62" t="str">
        <f t="shared" si="83"/>
        <v/>
      </c>
    </row>
    <row r="1048" spans="1:6">
      <c r="A1048" s="60">
        <v>104300</v>
      </c>
      <c r="B1048" s="60">
        <f t="shared" si="81"/>
        <v>3229551</v>
      </c>
      <c r="C1048" s="60">
        <f t="shared" si="84"/>
        <v>3229551</v>
      </c>
      <c r="D1048" s="61">
        <f t="shared" si="80"/>
        <v>1</v>
      </c>
      <c r="E1048" s="64">
        <f t="shared" si="82"/>
        <v>322.95510523910286</v>
      </c>
      <c r="F1048" s="62" t="str">
        <f t="shared" si="83"/>
        <v/>
      </c>
    </row>
    <row r="1049" spans="1:6">
      <c r="A1049" s="60">
        <v>104400</v>
      </c>
      <c r="B1049" s="60">
        <f t="shared" si="81"/>
        <v>3231099</v>
      </c>
      <c r="C1049" s="60">
        <f t="shared" si="84"/>
        <v>3231099</v>
      </c>
      <c r="D1049" s="61">
        <f t="shared" si="80"/>
        <v>1</v>
      </c>
      <c r="E1049" s="64">
        <f t="shared" si="82"/>
        <v>323.10988842807024</v>
      </c>
      <c r="F1049" s="62" t="str">
        <f t="shared" si="83"/>
        <v/>
      </c>
    </row>
    <row r="1050" spans="1:6">
      <c r="A1050" s="60">
        <v>104500</v>
      </c>
      <c r="B1050" s="60">
        <f t="shared" si="81"/>
        <v>3232646</v>
      </c>
      <c r="C1050" s="60">
        <f t="shared" si="84"/>
        <v>3232646</v>
      </c>
      <c r="D1050" s="61">
        <f t="shared" si="80"/>
        <v>1</v>
      </c>
      <c r="E1050" s="64">
        <f t="shared" si="82"/>
        <v>323.26459750489227</v>
      </c>
      <c r="F1050" s="62" t="str">
        <f t="shared" si="83"/>
        <v/>
      </c>
    </row>
    <row r="1051" spans="1:6">
      <c r="A1051" s="60">
        <v>104600</v>
      </c>
      <c r="B1051" s="60">
        <f t="shared" si="81"/>
        <v>3234192</v>
      </c>
      <c r="C1051" s="60">
        <f t="shared" si="84"/>
        <v>3234192</v>
      </c>
      <c r="D1051" s="61">
        <f t="shared" si="80"/>
        <v>1</v>
      </c>
      <c r="E1051" s="64">
        <f t="shared" si="82"/>
        <v>323.41923257592458</v>
      </c>
      <c r="F1051" s="62" t="str">
        <f t="shared" si="83"/>
        <v/>
      </c>
    </row>
    <row r="1052" spans="1:6">
      <c r="A1052" s="60">
        <v>104700</v>
      </c>
      <c r="B1052" s="60">
        <f t="shared" si="81"/>
        <v>3235738</v>
      </c>
      <c r="C1052" s="60">
        <f t="shared" si="84"/>
        <v>3235738</v>
      </c>
      <c r="D1052" s="61">
        <f t="shared" si="80"/>
        <v>1</v>
      </c>
      <c r="E1052" s="64">
        <f t="shared" si="82"/>
        <v>323.57379374726872</v>
      </c>
      <c r="F1052" s="62" t="str">
        <f t="shared" si="83"/>
        <v/>
      </c>
    </row>
    <row r="1053" spans="1:6">
      <c r="A1053" s="60">
        <v>104800</v>
      </c>
      <c r="B1053" s="60">
        <f t="shared" si="81"/>
        <v>3237283</v>
      </c>
      <c r="C1053" s="60">
        <f t="shared" si="84"/>
        <v>3237283</v>
      </c>
      <c r="D1053" s="61">
        <f t="shared" si="80"/>
        <v>1</v>
      </c>
      <c r="E1053" s="64">
        <f t="shared" si="82"/>
        <v>323.72828112477293</v>
      </c>
      <c r="F1053" s="62" t="str">
        <f t="shared" si="83"/>
        <v/>
      </c>
    </row>
    <row r="1054" spans="1:6">
      <c r="A1054" s="60">
        <v>104900</v>
      </c>
      <c r="B1054" s="60">
        <f t="shared" si="81"/>
        <v>3238827</v>
      </c>
      <c r="C1054" s="60">
        <f t="shared" si="84"/>
        <v>3238827</v>
      </c>
      <c r="D1054" s="61">
        <f t="shared" si="80"/>
        <v>1</v>
      </c>
      <c r="E1054" s="64">
        <f t="shared" si="82"/>
        <v>323.88269481403296</v>
      </c>
      <c r="F1054" s="62" t="str">
        <f t="shared" si="83"/>
        <v/>
      </c>
    </row>
    <row r="1055" spans="1:6">
      <c r="A1055" s="60">
        <v>105000</v>
      </c>
      <c r="B1055" s="60">
        <f t="shared" si="81"/>
        <v>3240370</v>
      </c>
      <c r="C1055" s="60">
        <f t="shared" si="84"/>
        <v>3240370</v>
      </c>
      <c r="D1055" s="61">
        <f t="shared" si="80"/>
        <v>1</v>
      </c>
      <c r="E1055" s="64">
        <f t="shared" si="82"/>
        <v>324.03703492039301</v>
      </c>
      <c r="F1055" s="62" t="str">
        <f t="shared" si="83"/>
        <v/>
      </c>
    </row>
    <row r="1056" spans="1:6">
      <c r="A1056" s="60">
        <v>105100</v>
      </c>
      <c r="B1056" s="60">
        <f t="shared" si="81"/>
        <v>3241913</v>
      </c>
      <c r="C1056" s="60">
        <f t="shared" si="84"/>
        <v>3241913</v>
      </c>
      <c r="D1056" s="61">
        <f t="shared" si="80"/>
        <v>1</v>
      </c>
      <c r="E1056" s="64">
        <f t="shared" si="82"/>
        <v>324.19130154894657</v>
      </c>
      <c r="F1056" s="62" t="str">
        <f t="shared" si="83"/>
        <v/>
      </c>
    </row>
    <row r="1057" spans="1:6">
      <c r="A1057" s="60">
        <v>105200</v>
      </c>
      <c r="B1057" s="60">
        <f t="shared" si="81"/>
        <v>3243455</v>
      </c>
      <c r="C1057" s="60">
        <f t="shared" si="84"/>
        <v>3243455</v>
      </c>
      <c r="D1057" s="61">
        <f t="shared" si="80"/>
        <v>1</v>
      </c>
      <c r="E1057" s="64">
        <f t="shared" si="82"/>
        <v>324.34549480453711</v>
      </c>
      <c r="F1057" s="62" t="str">
        <f t="shared" si="83"/>
        <v/>
      </c>
    </row>
    <row r="1058" spans="1:6">
      <c r="A1058" s="60">
        <v>105300</v>
      </c>
      <c r="B1058" s="60">
        <f t="shared" si="81"/>
        <v>3244996</v>
      </c>
      <c r="C1058" s="60">
        <f t="shared" si="84"/>
        <v>3244996</v>
      </c>
      <c r="D1058" s="61">
        <f t="shared" si="80"/>
        <v>1</v>
      </c>
      <c r="E1058" s="64">
        <f t="shared" si="82"/>
        <v>324.49961479175903</v>
      </c>
      <c r="F1058" s="62" t="str">
        <f t="shared" si="83"/>
        <v/>
      </c>
    </row>
    <row r="1059" spans="1:6">
      <c r="A1059" s="60">
        <v>105400</v>
      </c>
      <c r="B1059" s="60">
        <f t="shared" si="81"/>
        <v>3246537</v>
      </c>
      <c r="C1059" s="60">
        <f t="shared" si="84"/>
        <v>3246537</v>
      </c>
      <c r="D1059" s="61">
        <f t="shared" si="80"/>
        <v>1</v>
      </c>
      <c r="E1059" s="64">
        <f t="shared" si="82"/>
        <v>324.65366161495854</v>
      </c>
      <c r="F1059" s="62" t="str">
        <f t="shared" si="83"/>
        <v/>
      </c>
    </row>
    <row r="1060" spans="1:6">
      <c r="A1060" s="60">
        <v>105500</v>
      </c>
      <c r="B1060" s="60">
        <f t="shared" si="81"/>
        <v>3248076</v>
      </c>
      <c r="C1060" s="60">
        <f t="shared" si="84"/>
        <v>3248076</v>
      </c>
      <c r="D1060" s="61">
        <f t="shared" si="80"/>
        <v>1</v>
      </c>
      <c r="E1060" s="64">
        <f t="shared" si="82"/>
        <v>324.80763537823429</v>
      </c>
      <c r="F1060" s="62" t="str">
        <f t="shared" si="83"/>
        <v/>
      </c>
    </row>
    <row r="1061" spans="1:6">
      <c r="A1061" s="60">
        <v>105600</v>
      </c>
      <c r="B1061" s="60">
        <f t="shared" si="81"/>
        <v>3249615</v>
      </c>
      <c r="C1061" s="60">
        <f t="shared" si="84"/>
        <v>3249615</v>
      </c>
      <c r="D1061" s="61">
        <f t="shared" si="80"/>
        <v>1</v>
      </c>
      <c r="E1061" s="64">
        <f t="shared" si="82"/>
        <v>324.96153618543843</v>
      </c>
      <c r="F1061" s="62" t="str">
        <f t="shared" si="83"/>
        <v/>
      </c>
    </row>
    <row r="1062" spans="1:6">
      <c r="A1062" s="60">
        <v>105700</v>
      </c>
      <c r="B1062" s="60">
        <f t="shared" si="81"/>
        <v>3251154</v>
      </c>
      <c r="C1062" s="60">
        <f t="shared" si="84"/>
        <v>3251154</v>
      </c>
      <c r="D1062" s="61">
        <f t="shared" si="80"/>
        <v>1</v>
      </c>
      <c r="E1062" s="64">
        <f t="shared" si="82"/>
        <v>325.11536414017718</v>
      </c>
      <c r="F1062" s="62" t="str">
        <f t="shared" si="83"/>
        <v/>
      </c>
    </row>
    <row r="1063" spans="1:6">
      <c r="A1063" s="60">
        <v>105800</v>
      </c>
      <c r="B1063" s="60">
        <f t="shared" si="81"/>
        <v>3252691</v>
      </c>
      <c r="C1063" s="60">
        <f t="shared" si="84"/>
        <v>3252691</v>
      </c>
      <c r="D1063" s="61">
        <f t="shared" si="80"/>
        <v>1</v>
      </c>
      <c r="E1063" s="64">
        <f t="shared" si="82"/>
        <v>325.26911934581187</v>
      </c>
      <c r="F1063" s="62" t="str">
        <f t="shared" si="83"/>
        <v/>
      </c>
    </row>
    <row r="1064" spans="1:6">
      <c r="A1064" s="60">
        <v>105900</v>
      </c>
      <c r="B1064" s="60">
        <f t="shared" si="81"/>
        <v>3254228</v>
      </c>
      <c r="C1064" s="60">
        <f t="shared" si="84"/>
        <v>3254228</v>
      </c>
      <c r="D1064" s="61">
        <f t="shared" si="80"/>
        <v>1</v>
      </c>
      <c r="E1064" s="64">
        <f t="shared" si="82"/>
        <v>325.42280190545961</v>
      </c>
      <c r="F1064" s="62" t="str">
        <f t="shared" si="83"/>
        <v/>
      </c>
    </row>
    <row r="1065" spans="1:6">
      <c r="A1065" s="60">
        <v>106000</v>
      </c>
      <c r="B1065" s="60">
        <f t="shared" si="81"/>
        <v>3255764</v>
      </c>
      <c r="C1065" s="60">
        <f t="shared" si="84"/>
        <v>3255764</v>
      </c>
      <c r="D1065" s="61">
        <f t="shared" si="80"/>
        <v>1</v>
      </c>
      <c r="E1065" s="64">
        <f t="shared" si="82"/>
        <v>325.57641192199412</v>
      </c>
      <c r="F1065" s="62" t="str">
        <f t="shared" si="83"/>
        <v/>
      </c>
    </row>
    <row r="1066" spans="1:6">
      <c r="A1066" s="60">
        <v>106100</v>
      </c>
      <c r="B1066" s="60">
        <f t="shared" si="81"/>
        <v>3257299</v>
      </c>
      <c r="C1066" s="60">
        <f t="shared" si="84"/>
        <v>3257299</v>
      </c>
      <c r="D1066" s="61">
        <f t="shared" si="80"/>
        <v>1</v>
      </c>
      <c r="E1066" s="64">
        <f t="shared" si="82"/>
        <v>325.72994949804661</v>
      </c>
      <c r="F1066" s="62" t="str">
        <f t="shared" si="83"/>
        <v/>
      </c>
    </row>
    <row r="1067" spans="1:6">
      <c r="A1067" s="60">
        <v>106200</v>
      </c>
      <c r="B1067" s="60">
        <f t="shared" si="81"/>
        <v>3258834</v>
      </c>
      <c r="C1067" s="60">
        <f t="shared" si="84"/>
        <v>3258834</v>
      </c>
      <c r="D1067" s="61">
        <f t="shared" si="80"/>
        <v>1</v>
      </c>
      <c r="E1067" s="64">
        <f t="shared" si="82"/>
        <v>325.88341473600644</v>
      </c>
      <c r="F1067" s="62" t="str">
        <f t="shared" si="83"/>
        <v/>
      </c>
    </row>
    <row r="1068" spans="1:6">
      <c r="A1068" s="60">
        <v>106300</v>
      </c>
      <c r="B1068" s="60">
        <f t="shared" si="81"/>
        <v>3260368</v>
      </c>
      <c r="C1068" s="60">
        <f t="shared" si="84"/>
        <v>3260368</v>
      </c>
      <c r="D1068" s="61">
        <f t="shared" si="80"/>
        <v>1</v>
      </c>
      <c r="E1068" s="64">
        <f t="shared" si="82"/>
        <v>326.03680773802211</v>
      </c>
      <c r="F1068" s="62" t="str">
        <f t="shared" si="83"/>
        <v/>
      </c>
    </row>
    <row r="1069" spans="1:6">
      <c r="A1069" s="60">
        <v>106400</v>
      </c>
      <c r="B1069" s="60">
        <f t="shared" si="81"/>
        <v>3261901</v>
      </c>
      <c r="C1069" s="60">
        <f t="shared" si="84"/>
        <v>3261901</v>
      </c>
      <c r="D1069" s="61">
        <f t="shared" si="80"/>
        <v>1</v>
      </c>
      <c r="E1069" s="64">
        <f t="shared" si="82"/>
        <v>326.19012860600179</v>
      </c>
      <c r="F1069" s="62" t="str">
        <f t="shared" si="83"/>
        <v/>
      </c>
    </row>
    <row r="1070" spans="1:6">
      <c r="A1070" s="60">
        <v>106500</v>
      </c>
      <c r="B1070" s="60">
        <f t="shared" si="81"/>
        <v>3263434</v>
      </c>
      <c r="C1070" s="60">
        <f t="shared" si="84"/>
        <v>3263434</v>
      </c>
      <c r="D1070" s="61">
        <f t="shared" si="80"/>
        <v>1</v>
      </c>
      <c r="E1070" s="64">
        <f t="shared" si="82"/>
        <v>326.34337744161439</v>
      </c>
      <c r="F1070" s="62" t="str">
        <f t="shared" si="83"/>
        <v/>
      </c>
    </row>
    <row r="1071" spans="1:6">
      <c r="A1071" s="60">
        <v>106600</v>
      </c>
      <c r="B1071" s="60">
        <f t="shared" si="81"/>
        <v>3264966</v>
      </c>
      <c r="C1071" s="60">
        <f t="shared" si="84"/>
        <v>3264966</v>
      </c>
      <c r="D1071" s="61">
        <f t="shared" si="80"/>
        <v>1</v>
      </c>
      <c r="E1071" s="64">
        <f t="shared" si="82"/>
        <v>326.49655434629017</v>
      </c>
      <c r="F1071" s="62" t="str">
        <f t="shared" si="83"/>
        <v/>
      </c>
    </row>
    <row r="1072" spans="1:6">
      <c r="A1072" s="60">
        <v>106700</v>
      </c>
      <c r="B1072" s="60">
        <f t="shared" si="81"/>
        <v>3266497</v>
      </c>
      <c r="C1072" s="60">
        <f t="shared" si="84"/>
        <v>3266497</v>
      </c>
      <c r="D1072" s="61">
        <f t="shared" si="80"/>
        <v>1</v>
      </c>
      <c r="E1072" s="64">
        <f t="shared" si="82"/>
        <v>326.64965942122149</v>
      </c>
      <c r="F1072" s="62" t="str">
        <f t="shared" si="83"/>
        <v/>
      </c>
    </row>
    <row r="1073" spans="1:6">
      <c r="A1073" s="60">
        <v>106800</v>
      </c>
      <c r="B1073" s="60">
        <f t="shared" si="81"/>
        <v>3268027</v>
      </c>
      <c r="C1073" s="60">
        <f t="shared" si="84"/>
        <v>3268027</v>
      </c>
      <c r="D1073" s="61">
        <f t="shared" si="80"/>
        <v>1</v>
      </c>
      <c r="E1073" s="64">
        <f t="shared" si="82"/>
        <v>326.80269276736385</v>
      </c>
      <c r="F1073" s="62" t="str">
        <f t="shared" si="83"/>
        <v/>
      </c>
    </row>
    <row r="1074" spans="1:6">
      <c r="A1074" s="60">
        <v>106900</v>
      </c>
      <c r="B1074" s="60">
        <f t="shared" si="81"/>
        <v>3269557</v>
      </c>
      <c r="C1074" s="60">
        <f t="shared" si="84"/>
        <v>3269557</v>
      </c>
      <c r="D1074" s="61">
        <f t="shared" si="80"/>
        <v>1</v>
      </c>
      <c r="E1074" s="64">
        <f t="shared" si="82"/>
        <v>326.9556544854363</v>
      </c>
      <c r="F1074" s="62" t="str">
        <f t="shared" si="83"/>
        <v/>
      </c>
    </row>
    <row r="1075" spans="1:6">
      <c r="A1075" s="60">
        <v>107000</v>
      </c>
      <c r="B1075" s="60">
        <f t="shared" si="81"/>
        <v>3271085</v>
      </c>
      <c r="C1075" s="60">
        <f t="shared" si="84"/>
        <v>3271085</v>
      </c>
      <c r="D1075" s="61">
        <f t="shared" si="80"/>
        <v>1</v>
      </c>
      <c r="E1075" s="64">
        <f t="shared" si="82"/>
        <v>327.10854467592253</v>
      </c>
      <c r="F1075" s="62" t="str">
        <f t="shared" si="83"/>
        <v/>
      </c>
    </row>
    <row r="1076" spans="1:6">
      <c r="A1076" s="60">
        <v>107100</v>
      </c>
      <c r="B1076" s="60">
        <f t="shared" si="81"/>
        <v>3272614</v>
      </c>
      <c r="C1076" s="60">
        <f t="shared" si="84"/>
        <v>3272614</v>
      </c>
      <c r="D1076" s="61">
        <f t="shared" si="80"/>
        <v>1</v>
      </c>
      <c r="E1076" s="64">
        <f t="shared" si="82"/>
        <v>327.26136343907143</v>
      </c>
      <c r="F1076" s="62" t="str">
        <f t="shared" si="83"/>
        <v/>
      </c>
    </row>
    <row r="1077" spans="1:6">
      <c r="A1077" s="60">
        <v>107200</v>
      </c>
      <c r="B1077" s="60">
        <f t="shared" si="81"/>
        <v>3274141</v>
      </c>
      <c r="C1077" s="60">
        <f t="shared" si="84"/>
        <v>3274141</v>
      </c>
      <c r="D1077" s="61">
        <f t="shared" si="80"/>
        <v>1</v>
      </c>
      <c r="E1077" s="64">
        <f t="shared" si="82"/>
        <v>327.41411087489797</v>
      </c>
      <c r="F1077" s="62" t="str">
        <f t="shared" si="83"/>
        <v/>
      </c>
    </row>
    <row r="1078" spans="1:6">
      <c r="A1078" s="60">
        <v>107300</v>
      </c>
      <c r="B1078" s="60">
        <f t="shared" si="81"/>
        <v>3275668</v>
      </c>
      <c r="C1078" s="60">
        <f t="shared" si="84"/>
        <v>3275668</v>
      </c>
      <c r="D1078" s="61">
        <f t="shared" si="80"/>
        <v>1</v>
      </c>
      <c r="E1078" s="64">
        <f t="shared" si="82"/>
        <v>327.56678708318401</v>
      </c>
      <c r="F1078" s="62" t="str">
        <f t="shared" si="83"/>
        <v/>
      </c>
    </row>
    <row r="1079" spans="1:6">
      <c r="A1079" s="60">
        <v>107400</v>
      </c>
      <c r="B1079" s="60">
        <f t="shared" si="81"/>
        <v>3277194</v>
      </c>
      <c r="C1079" s="60">
        <f t="shared" si="84"/>
        <v>3277194</v>
      </c>
      <c r="D1079" s="61">
        <f t="shared" si="80"/>
        <v>1</v>
      </c>
      <c r="E1079" s="64">
        <f t="shared" si="82"/>
        <v>327.7193921634788</v>
      </c>
      <c r="F1079" s="62" t="str">
        <f t="shared" si="83"/>
        <v/>
      </c>
    </row>
    <row r="1080" spans="1:6">
      <c r="A1080" s="60">
        <v>107500</v>
      </c>
      <c r="B1080" s="60">
        <f t="shared" si="81"/>
        <v>3278719</v>
      </c>
      <c r="C1080" s="60">
        <f t="shared" si="84"/>
        <v>3278719</v>
      </c>
      <c r="D1080" s="61">
        <f t="shared" si="80"/>
        <v>1</v>
      </c>
      <c r="E1080" s="64">
        <f t="shared" si="82"/>
        <v>327.87192621510002</v>
      </c>
      <c r="F1080" s="62" t="str">
        <f t="shared" si="83"/>
        <v/>
      </c>
    </row>
    <row r="1081" spans="1:6">
      <c r="A1081" s="60">
        <v>107600</v>
      </c>
      <c r="B1081" s="60">
        <f t="shared" si="81"/>
        <v>3280244</v>
      </c>
      <c r="C1081" s="60">
        <f t="shared" si="84"/>
        <v>3280244</v>
      </c>
      <c r="D1081" s="61">
        <f t="shared" si="80"/>
        <v>1</v>
      </c>
      <c r="E1081" s="64">
        <f t="shared" si="82"/>
        <v>328.02438933713449</v>
      </c>
      <c r="F1081" s="62" t="str">
        <f t="shared" si="83"/>
        <v/>
      </c>
    </row>
    <row r="1082" spans="1:6">
      <c r="A1082" s="60">
        <v>107700</v>
      </c>
      <c r="B1082" s="60">
        <f t="shared" si="81"/>
        <v>3281768</v>
      </c>
      <c r="C1082" s="60">
        <f t="shared" si="84"/>
        <v>3281768</v>
      </c>
      <c r="D1082" s="61">
        <f t="shared" si="80"/>
        <v>1</v>
      </c>
      <c r="E1082" s="64">
        <f t="shared" si="82"/>
        <v>328.17678162843879</v>
      </c>
      <c r="F1082" s="62" t="str">
        <f t="shared" si="83"/>
        <v/>
      </c>
    </row>
    <row r="1083" spans="1:6">
      <c r="A1083" s="60">
        <v>107800</v>
      </c>
      <c r="B1083" s="60">
        <f t="shared" si="81"/>
        <v>3283291</v>
      </c>
      <c r="C1083" s="60">
        <f t="shared" si="84"/>
        <v>3283291</v>
      </c>
      <c r="D1083" s="61">
        <f t="shared" si="80"/>
        <v>1</v>
      </c>
      <c r="E1083" s="64">
        <f t="shared" si="82"/>
        <v>328.32910318764004</v>
      </c>
      <c r="F1083" s="62" t="str">
        <f t="shared" si="83"/>
        <v/>
      </c>
    </row>
    <row r="1084" spans="1:6">
      <c r="A1084" s="60">
        <v>107900</v>
      </c>
      <c r="B1084" s="60">
        <f t="shared" si="81"/>
        <v>3284814</v>
      </c>
      <c r="C1084" s="60">
        <f t="shared" si="84"/>
        <v>3284814</v>
      </c>
      <c r="D1084" s="61">
        <f t="shared" si="80"/>
        <v>1</v>
      </c>
      <c r="E1084" s="64">
        <f t="shared" si="82"/>
        <v>328.48135411313683</v>
      </c>
      <c r="F1084" s="62" t="str">
        <f t="shared" si="83"/>
        <v/>
      </c>
    </row>
    <row r="1085" spans="1:6">
      <c r="A1085" s="60">
        <v>108000</v>
      </c>
      <c r="B1085" s="60">
        <f t="shared" si="81"/>
        <v>3286335</v>
      </c>
      <c r="C1085" s="60">
        <f t="shared" si="84"/>
        <v>3286335</v>
      </c>
      <c r="D1085" s="61">
        <f t="shared" si="80"/>
        <v>1</v>
      </c>
      <c r="E1085" s="64">
        <f t="shared" si="82"/>
        <v>328.63353450309967</v>
      </c>
      <c r="F1085" s="62" t="str">
        <f t="shared" si="83"/>
        <v/>
      </c>
    </row>
    <row r="1086" spans="1:6">
      <c r="A1086" s="60">
        <v>108100</v>
      </c>
      <c r="B1086" s="60">
        <f t="shared" si="81"/>
        <v>3287856</v>
      </c>
      <c r="C1086" s="60">
        <f t="shared" si="84"/>
        <v>3287856</v>
      </c>
      <c r="D1086" s="61">
        <f t="shared" si="80"/>
        <v>1</v>
      </c>
      <c r="E1086" s="64">
        <f t="shared" si="82"/>
        <v>328.78564445547192</v>
      </c>
      <c r="F1086" s="62" t="str">
        <f t="shared" si="83"/>
        <v/>
      </c>
    </row>
    <row r="1087" spans="1:6">
      <c r="A1087" s="60">
        <v>108200</v>
      </c>
      <c r="B1087" s="60">
        <f t="shared" si="81"/>
        <v>3289377</v>
      </c>
      <c r="C1087" s="60">
        <f t="shared" si="84"/>
        <v>3289377</v>
      </c>
      <c r="D1087" s="61">
        <f t="shared" si="80"/>
        <v>1</v>
      </c>
      <c r="E1087" s="64">
        <f t="shared" si="82"/>
        <v>328.93768406797057</v>
      </c>
      <c r="F1087" s="62" t="str">
        <f t="shared" si="83"/>
        <v/>
      </c>
    </row>
    <row r="1088" spans="1:6">
      <c r="A1088" s="60">
        <v>108300</v>
      </c>
      <c r="B1088" s="60">
        <f t="shared" si="81"/>
        <v>3290897</v>
      </c>
      <c r="C1088" s="60">
        <f t="shared" si="84"/>
        <v>3290897</v>
      </c>
      <c r="D1088" s="61">
        <f t="shared" si="80"/>
        <v>1</v>
      </c>
      <c r="E1088" s="64">
        <f t="shared" si="82"/>
        <v>329.08965343808671</v>
      </c>
      <c r="F1088" s="62" t="str">
        <f t="shared" si="83"/>
        <v/>
      </c>
    </row>
    <row r="1089" spans="1:6">
      <c r="A1089" s="60">
        <v>108400</v>
      </c>
      <c r="B1089" s="60">
        <f t="shared" si="81"/>
        <v>3292416</v>
      </c>
      <c r="C1089" s="60">
        <f t="shared" si="84"/>
        <v>3292416</v>
      </c>
      <c r="D1089" s="61">
        <f t="shared" si="80"/>
        <v>1</v>
      </c>
      <c r="E1089" s="64">
        <f t="shared" si="82"/>
        <v>329.24155266308657</v>
      </c>
      <c r="F1089" s="62" t="str">
        <f t="shared" si="83"/>
        <v/>
      </c>
    </row>
    <row r="1090" spans="1:6">
      <c r="A1090" s="60">
        <v>108500</v>
      </c>
      <c r="B1090" s="60">
        <f t="shared" si="81"/>
        <v>3293934</v>
      </c>
      <c r="C1090" s="60">
        <f t="shared" si="84"/>
        <v>3293934</v>
      </c>
      <c r="D1090" s="61">
        <f t="shared" si="80"/>
        <v>1</v>
      </c>
      <c r="E1090" s="64">
        <f t="shared" si="82"/>
        <v>329.39338184001207</v>
      </c>
      <c r="F1090" s="62" t="str">
        <f t="shared" si="83"/>
        <v/>
      </c>
    </row>
    <row r="1091" spans="1:6">
      <c r="A1091" s="60">
        <v>108600</v>
      </c>
      <c r="B1091" s="60">
        <f t="shared" si="81"/>
        <v>3295451</v>
      </c>
      <c r="C1091" s="60">
        <f t="shared" si="84"/>
        <v>3295451</v>
      </c>
      <c r="D1091" s="61">
        <f t="shared" si="80"/>
        <v>1</v>
      </c>
      <c r="E1091" s="64">
        <f t="shared" si="82"/>
        <v>329.54514106568161</v>
      </c>
      <c r="F1091" s="62" t="str">
        <f t="shared" si="83"/>
        <v/>
      </c>
    </row>
    <row r="1092" spans="1:6">
      <c r="A1092" s="60">
        <v>108700</v>
      </c>
      <c r="B1092" s="60">
        <f t="shared" si="81"/>
        <v>3296968</v>
      </c>
      <c r="C1092" s="60">
        <f t="shared" si="84"/>
        <v>3296968</v>
      </c>
      <c r="D1092" s="61">
        <f t="shared" si="80"/>
        <v>1</v>
      </c>
      <c r="E1092" s="64">
        <f t="shared" si="82"/>
        <v>329.69683043669073</v>
      </c>
      <c r="F1092" s="62" t="str">
        <f t="shared" si="83"/>
        <v/>
      </c>
    </row>
    <row r="1093" spans="1:6">
      <c r="A1093" s="60">
        <v>108800</v>
      </c>
      <c r="B1093" s="60">
        <f t="shared" si="81"/>
        <v>3298485</v>
      </c>
      <c r="C1093" s="60">
        <f t="shared" si="84"/>
        <v>3298485</v>
      </c>
      <c r="D1093" s="61">
        <f t="shared" ref="D1093:D1156" si="85">(A1093-INDEX(兵力区间,MATCH(A1093,兵力区间,1)))/(INDEX(兵力区间,MATCH(A1093,兵力区间,1)+1)-INDEX(兵力区间,MATCH(A1093,兵力区间,1)))*((INDEX(兵力调节,MATCH(A1093,兵力区间,1)+1,2)-INDEX(兵力调节,MATCH(A1093,兵力区间,1),2)))+INDEX(兵力调节,MATCH(A1093,兵力区间,1),2)</f>
        <v>1</v>
      </c>
      <c r="E1093" s="64">
        <f t="shared" si="82"/>
        <v>329.84845004941286</v>
      </c>
      <c r="F1093" s="62" t="str">
        <f t="shared" si="83"/>
        <v/>
      </c>
    </row>
    <row r="1094" spans="1:6">
      <c r="A1094" s="60">
        <v>108900</v>
      </c>
      <c r="B1094" s="60">
        <f t="shared" si="81"/>
        <v>3300000</v>
      </c>
      <c r="C1094" s="60">
        <f t="shared" si="84"/>
        <v>3300000</v>
      </c>
      <c r="D1094" s="61">
        <f t="shared" si="85"/>
        <v>1</v>
      </c>
      <c r="E1094" s="64">
        <f t="shared" si="82"/>
        <v>330</v>
      </c>
      <c r="F1094" s="62" t="str">
        <f t="shared" si="83"/>
        <v/>
      </c>
    </row>
    <row r="1095" spans="1:6">
      <c r="A1095" s="60">
        <v>109000</v>
      </c>
      <c r="B1095" s="60">
        <f t="shared" ref="B1095:B1158" si="86">ROUND(D1095*E1095*10000,0)</f>
        <v>3301515</v>
      </c>
      <c r="C1095" s="60">
        <f t="shared" si="84"/>
        <v>3301515</v>
      </c>
      <c r="D1095" s="61">
        <f t="shared" si="85"/>
        <v>1</v>
      </c>
      <c r="E1095" s="64">
        <f t="shared" ref="E1095:E1158" si="87">A1095^0.5</f>
        <v>330.15148038438355</v>
      </c>
      <c r="F1095" s="62" t="str">
        <f t="shared" si="83"/>
        <v/>
      </c>
    </row>
    <row r="1096" spans="1:6">
      <c r="A1096" s="60">
        <v>109100</v>
      </c>
      <c r="B1096" s="60">
        <f t="shared" si="86"/>
        <v>3303029</v>
      </c>
      <c r="C1096" s="60">
        <f t="shared" si="84"/>
        <v>3303029</v>
      </c>
      <c r="D1096" s="61">
        <f t="shared" si="85"/>
        <v>1</v>
      </c>
      <c r="E1096" s="64">
        <f t="shared" si="87"/>
        <v>330.30289129827491</v>
      </c>
      <c r="F1096" s="62" t="str">
        <f t="shared" ref="F1096:F1159" si="88">IF(B1096&lt;B1095,1,"")</f>
        <v/>
      </c>
    </row>
    <row r="1097" spans="1:6">
      <c r="A1097" s="60">
        <v>109200</v>
      </c>
      <c r="B1097" s="60">
        <f t="shared" si="86"/>
        <v>3304542</v>
      </c>
      <c r="C1097" s="60">
        <f t="shared" si="84"/>
        <v>3304542</v>
      </c>
      <c r="D1097" s="61">
        <f t="shared" si="85"/>
        <v>1</v>
      </c>
      <c r="E1097" s="64">
        <f t="shared" si="87"/>
        <v>330.4542328371661</v>
      </c>
      <c r="F1097" s="62" t="str">
        <f t="shared" si="88"/>
        <v/>
      </c>
    </row>
    <row r="1098" spans="1:6">
      <c r="A1098" s="60">
        <v>109300</v>
      </c>
      <c r="B1098" s="60">
        <f t="shared" si="86"/>
        <v>3306055</v>
      </c>
      <c r="C1098" s="60">
        <f t="shared" si="84"/>
        <v>3306055</v>
      </c>
      <c r="D1098" s="61">
        <f t="shared" si="85"/>
        <v>1</v>
      </c>
      <c r="E1098" s="64">
        <f t="shared" si="87"/>
        <v>330.60550509633077</v>
      </c>
      <c r="F1098" s="62" t="str">
        <f t="shared" si="88"/>
        <v/>
      </c>
    </row>
    <row r="1099" spans="1:6">
      <c r="A1099" s="60">
        <v>109400</v>
      </c>
      <c r="B1099" s="60">
        <f t="shared" si="86"/>
        <v>3307567</v>
      </c>
      <c r="C1099" s="60">
        <f t="shared" ref="C1099:C1162" si="89">ROUND(D1099*E1099*10000,0)</f>
        <v>3307567</v>
      </c>
      <c r="D1099" s="61">
        <f t="shared" si="85"/>
        <v>1</v>
      </c>
      <c r="E1099" s="64">
        <f t="shared" si="87"/>
        <v>330.75670817082454</v>
      </c>
      <c r="F1099" s="62" t="str">
        <f t="shared" si="88"/>
        <v/>
      </c>
    </row>
    <row r="1100" spans="1:6">
      <c r="A1100" s="60">
        <v>109500</v>
      </c>
      <c r="B1100" s="60">
        <f t="shared" si="86"/>
        <v>3309078</v>
      </c>
      <c r="C1100" s="60">
        <f t="shared" si="89"/>
        <v>3309078</v>
      </c>
      <c r="D1100" s="61">
        <f t="shared" si="85"/>
        <v>1</v>
      </c>
      <c r="E1100" s="64">
        <f t="shared" si="87"/>
        <v>330.90784215548592</v>
      </c>
      <c r="F1100" s="62" t="str">
        <f t="shared" si="88"/>
        <v/>
      </c>
    </row>
    <row r="1101" spans="1:6">
      <c r="A1101" s="60">
        <v>109600</v>
      </c>
      <c r="B1101" s="60">
        <f t="shared" si="86"/>
        <v>3310589</v>
      </c>
      <c r="C1101" s="60">
        <f t="shared" si="89"/>
        <v>3310589</v>
      </c>
      <c r="D1101" s="61">
        <f t="shared" si="85"/>
        <v>1</v>
      </c>
      <c r="E1101" s="64">
        <f t="shared" si="87"/>
        <v>331.058907144937</v>
      </c>
      <c r="F1101" s="62" t="str">
        <f t="shared" si="88"/>
        <v/>
      </c>
    </row>
    <row r="1102" spans="1:6">
      <c r="A1102" s="60">
        <v>109700</v>
      </c>
      <c r="B1102" s="60">
        <f t="shared" si="86"/>
        <v>3312099</v>
      </c>
      <c r="C1102" s="60">
        <f t="shared" si="89"/>
        <v>3312099</v>
      </c>
      <c r="D1102" s="61">
        <f t="shared" si="85"/>
        <v>1</v>
      </c>
      <c r="E1102" s="64">
        <f t="shared" si="87"/>
        <v>331.20990323358387</v>
      </c>
      <c r="F1102" s="62" t="str">
        <f t="shared" si="88"/>
        <v/>
      </c>
    </row>
    <row r="1103" spans="1:6">
      <c r="A1103" s="60">
        <v>109800</v>
      </c>
      <c r="B1103" s="60">
        <f t="shared" si="86"/>
        <v>3313608</v>
      </c>
      <c r="C1103" s="60">
        <f t="shared" si="89"/>
        <v>3313608</v>
      </c>
      <c r="D1103" s="61">
        <f t="shared" si="85"/>
        <v>1</v>
      </c>
      <c r="E1103" s="64">
        <f t="shared" si="87"/>
        <v>331.36083051561781</v>
      </c>
      <c r="F1103" s="62" t="str">
        <f t="shared" si="88"/>
        <v/>
      </c>
    </row>
    <row r="1104" spans="1:6">
      <c r="A1104" s="60">
        <v>109900</v>
      </c>
      <c r="B1104" s="60">
        <f t="shared" si="86"/>
        <v>3315117</v>
      </c>
      <c r="C1104" s="60">
        <f t="shared" si="89"/>
        <v>3315117</v>
      </c>
      <c r="D1104" s="61">
        <f t="shared" si="85"/>
        <v>1</v>
      </c>
      <c r="E1104" s="64">
        <f t="shared" si="87"/>
        <v>331.51168908501552</v>
      </c>
      <c r="F1104" s="62" t="str">
        <f t="shared" si="88"/>
        <v/>
      </c>
    </row>
    <row r="1105" spans="1:6">
      <c r="A1105" s="60">
        <v>110000</v>
      </c>
      <c r="B1105" s="60">
        <f t="shared" si="86"/>
        <v>3316625</v>
      </c>
      <c r="C1105" s="60">
        <f t="shared" si="89"/>
        <v>3316625</v>
      </c>
      <c r="D1105" s="61">
        <f t="shared" si="85"/>
        <v>1</v>
      </c>
      <c r="E1105" s="64">
        <f t="shared" si="87"/>
        <v>331.66247903554</v>
      </c>
      <c r="F1105" s="62" t="str">
        <f t="shared" si="88"/>
        <v/>
      </c>
    </row>
    <row r="1106" spans="1:6">
      <c r="A1106" s="60">
        <v>110100</v>
      </c>
      <c r="B1106" s="60">
        <f t="shared" si="86"/>
        <v>3318132</v>
      </c>
      <c r="C1106" s="60">
        <f t="shared" si="89"/>
        <v>3318132</v>
      </c>
      <c r="D1106" s="61">
        <f t="shared" si="85"/>
        <v>1</v>
      </c>
      <c r="E1106" s="64">
        <f t="shared" si="87"/>
        <v>331.81320046074114</v>
      </c>
      <c r="F1106" s="62" t="str">
        <f t="shared" si="88"/>
        <v/>
      </c>
    </row>
    <row r="1107" spans="1:6">
      <c r="A1107" s="60">
        <v>110200</v>
      </c>
      <c r="B1107" s="60">
        <f t="shared" si="86"/>
        <v>3319639</v>
      </c>
      <c r="C1107" s="60">
        <f t="shared" si="89"/>
        <v>3319639</v>
      </c>
      <c r="D1107" s="61">
        <f t="shared" si="85"/>
        <v>1</v>
      </c>
      <c r="E1107" s="64">
        <f t="shared" si="87"/>
        <v>331.96385345395663</v>
      </c>
      <c r="F1107" s="62" t="str">
        <f t="shared" si="88"/>
        <v/>
      </c>
    </row>
    <row r="1108" spans="1:6">
      <c r="A1108" s="60">
        <v>110300</v>
      </c>
      <c r="B1108" s="60">
        <f t="shared" si="86"/>
        <v>3321144</v>
      </c>
      <c r="C1108" s="60">
        <f t="shared" si="89"/>
        <v>3321144</v>
      </c>
      <c r="D1108" s="61">
        <f t="shared" si="85"/>
        <v>1</v>
      </c>
      <c r="E1108" s="64">
        <f t="shared" si="87"/>
        <v>332.1144381083123</v>
      </c>
      <c r="F1108" s="62" t="str">
        <f t="shared" si="88"/>
        <v/>
      </c>
    </row>
    <row r="1109" spans="1:6">
      <c r="A1109" s="60">
        <v>110400</v>
      </c>
      <c r="B1109" s="60">
        <f t="shared" si="86"/>
        <v>3322650</v>
      </c>
      <c r="C1109" s="60">
        <f t="shared" si="89"/>
        <v>3322650</v>
      </c>
      <c r="D1109" s="61">
        <f t="shared" si="85"/>
        <v>1</v>
      </c>
      <c r="E1109" s="64">
        <f t="shared" si="87"/>
        <v>332.26495451672298</v>
      </c>
      <c r="F1109" s="62" t="str">
        <f t="shared" si="88"/>
        <v/>
      </c>
    </row>
    <row r="1110" spans="1:6">
      <c r="A1110" s="60">
        <v>110500</v>
      </c>
      <c r="B1110" s="60">
        <f t="shared" si="86"/>
        <v>3324154</v>
      </c>
      <c r="C1110" s="60">
        <f t="shared" si="89"/>
        <v>3324154</v>
      </c>
      <c r="D1110" s="61">
        <f t="shared" si="85"/>
        <v>1</v>
      </c>
      <c r="E1110" s="64">
        <f t="shared" si="87"/>
        <v>332.41540277189324</v>
      </c>
      <c r="F1110" s="62" t="str">
        <f t="shared" si="88"/>
        <v/>
      </c>
    </row>
    <row r="1111" spans="1:6">
      <c r="A1111" s="60">
        <v>110600</v>
      </c>
      <c r="B1111" s="60">
        <f t="shared" si="86"/>
        <v>3325658</v>
      </c>
      <c r="C1111" s="60">
        <f t="shared" si="89"/>
        <v>3325658</v>
      </c>
      <c r="D1111" s="61">
        <f t="shared" si="85"/>
        <v>1</v>
      </c>
      <c r="E1111" s="64">
        <f t="shared" si="87"/>
        <v>332.56578296631778</v>
      </c>
      <c r="F1111" s="62" t="str">
        <f t="shared" si="88"/>
        <v/>
      </c>
    </row>
    <row r="1112" spans="1:6">
      <c r="A1112" s="60">
        <v>110700</v>
      </c>
      <c r="B1112" s="60">
        <f t="shared" si="86"/>
        <v>3327161</v>
      </c>
      <c r="C1112" s="60">
        <f t="shared" si="89"/>
        <v>3327161</v>
      </c>
      <c r="D1112" s="61">
        <f t="shared" si="85"/>
        <v>1</v>
      </c>
      <c r="E1112" s="64">
        <f t="shared" si="87"/>
        <v>332.71609519228252</v>
      </c>
      <c r="F1112" s="62" t="str">
        <f t="shared" si="88"/>
        <v/>
      </c>
    </row>
    <row r="1113" spans="1:6">
      <c r="A1113" s="60">
        <v>110800</v>
      </c>
      <c r="B1113" s="60">
        <f t="shared" si="86"/>
        <v>3328663</v>
      </c>
      <c r="C1113" s="60">
        <f t="shared" si="89"/>
        <v>3328663</v>
      </c>
      <c r="D1113" s="61">
        <f t="shared" si="85"/>
        <v>1</v>
      </c>
      <c r="E1113" s="64">
        <f t="shared" si="87"/>
        <v>332.86633954186476</v>
      </c>
      <c r="F1113" s="62" t="str">
        <f t="shared" si="88"/>
        <v/>
      </c>
    </row>
    <row r="1114" spans="1:6">
      <c r="A1114" s="60">
        <v>110900</v>
      </c>
      <c r="B1114" s="60">
        <f t="shared" si="86"/>
        <v>3330165</v>
      </c>
      <c r="C1114" s="60">
        <f t="shared" si="89"/>
        <v>3330165</v>
      </c>
      <c r="D1114" s="61">
        <f t="shared" si="85"/>
        <v>1</v>
      </c>
      <c r="E1114" s="64">
        <f t="shared" si="87"/>
        <v>333.01651610693426</v>
      </c>
      <c r="F1114" s="62" t="str">
        <f t="shared" si="88"/>
        <v/>
      </c>
    </row>
    <row r="1115" spans="1:6">
      <c r="A1115" s="60">
        <v>111000</v>
      </c>
      <c r="B1115" s="60">
        <f t="shared" si="86"/>
        <v>3331666</v>
      </c>
      <c r="C1115" s="60">
        <f t="shared" si="89"/>
        <v>3331666</v>
      </c>
      <c r="D1115" s="61">
        <f t="shared" si="85"/>
        <v>1</v>
      </c>
      <c r="E1115" s="64">
        <f t="shared" si="87"/>
        <v>333.16662497915365</v>
      </c>
      <c r="F1115" s="62" t="str">
        <f t="shared" si="88"/>
        <v/>
      </c>
    </row>
    <row r="1116" spans="1:6">
      <c r="A1116" s="60">
        <v>111100</v>
      </c>
      <c r="B1116" s="60">
        <f t="shared" si="86"/>
        <v>3333167</v>
      </c>
      <c r="C1116" s="60">
        <f t="shared" si="89"/>
        <v>3333167</v>
      </c>
      <c r="D1116" s="61">
        <f t="shared" si="85"/>
        <v>1</v>
      </c>
      <c r="E1116" s="64">
        <f t="shared" si="87"/>
        <v>333.31666624997916</v>
      </c>
      <c r="F1116" s="62" t="str">
        <f t="shared" si="88"/>
        <v/>
      </c>
    </row>
    <row r="1117" spans="1:6">
      <c r="A1117" s="60">
        <v>111200</v>
      </c>
      <c r="B1117" s="60">
        <f t="shared" si="86"/>
        <v>3334666</v>
      </c>
      <c r="C1117" s="60">
        <f t="shared" si="89"/>
        <v>3334666</v>
      </c>
      <c r="D1117" s="61">
        <f t="shared" si="85"/>
        <v>1</v>
      </c>
      <c r="E1117" s="64">
        <f t="shared" si="87"/>
        <v>333.46664001066131</v>
      </c>
      <c r="F1117" s="62" t="str">
        <f t="shared" si="88"/>
        <v/>
      </c>
    </row>
    <row r="1118" spans="1:6">
      <c r="A1118" s="60">
        <v>111300</v>
      </c>
      <c r="B1118" s="60">
        <f t="shared" si="86"/>
        <v>3336165</v>
      </c>
      <c r="C1118" s="60">
        <f t="shared" si="89"/>
        <v>3336165</v>
      </c>
      <c r="D1118" s="61">
        <f t="shared" si="85"/>
        <v>1</v>
      </c>
      <c r="E1118" s="64">
        <f t="shared" si="87"/>
        <v>333.61654635224556</v>
      </c>
      <c r="F1118" s="62" t="str">
        <f t="shared" si="88"/>
        <v/>
      </c>
    </row>
    <row r="1119" spans="1:6">
      <c r="A1119" s="60">
        <v>111400</v>
      </c>
      <c r="B1119" s="60">
        <f t="shared" si="86"/>
        <v>3337664</v>
      </c>
      <c r="C1119" s="60">
        <f t="shared" si="89"/>
        <v>3337664</v>
      </c>
      <c r="D1119" s="61">
        <f t="shared" si="85"/>
        <v>1</v>
      </c>
      <c r="E1119" s="64">
        <f t="shared" si="87"/>
        <v>333.76638536557272</v>
      </c>
      <c r="F1119" s="62" t="str">
        <f t="shared" si="88"/>
        <v/>
      </c>
    </row>
    <row r="1120" spans="1:6">
      <c r="A1120" s="60">
        <v>111500</v>
      </c>
      <c r="B1120" s="60">
        <f t="shared" si="86"/>
        <v>3339162</v>
      </c>
      <c r="C1120" s="60">
        <f t="shared" si="89"/>
        <v>3339162</v>
      </c>
      <c r="D1120" s="61">
        <f t="shared" si="85"/>
        <v>1</v>
      </c>
      <c r="E1120" s="64">
        <f t="shared" si="87"/>
        <v>333.91615714128</v>
      </c>
      <c r="F1120" s="62" t="str">
        <f t="shared" si="88"/>
        <v/>
      </c>
    </row>
    <row r="1121" spans="1:6">
      <c r="A1121" s="60">
        <v>111600</v>
      </c>
      <c r="B1121" s="60">
        <f t="shared" si="86"/>
        <v>3340659</v>
      </c>
      <c r="C1121" s="60">
        <f t="shared" si="89"/>
        <v>3340659</v>
      </c>
      <c r="D1121" s="61">
        <f t="shared" si="85"/>
        <v>1</v>
      </c>
      <c r="E1121" s="64">
        <f t="shared" si="87"/>
        <v>334.0658617698013</v>
      </c>
      <c r="F1121" s="62" t="str">
        <f t="shared" si="88"/>
        <v/>
      </c>
    </row>
    <row r="1122" spans="1:6">
      <c r="A1122" s="60">
        <v>111700</v>
      </c>
      <c r="B1122" s="60">
        <f t="shared" si="86"/>
        <v>3342155</v>
      </c>
      <c r="C1122" s="60">
        <f t="shared" si="89"/>
        <v>3342155</v>
      </c>
      <c r="D1122" s="61">
        <f t="shared" si="85"/>
        <v>1</v>
      </c>
      <c r="E1122" s="64">
        <f t="shared" si="87"/>
        <v>334.21549934136806</v>
      </c>
      <c r="F1122" s="62" t="str">
        <f t="shared" si="88"/>
        <v/>
      </c>
    </row>
    <row r="1123" spans="1:6">
      <c r="A1123" s="60">
        <v>111800</v>
      </c>
      <c r="B1123" s="60">
        <f t="shared" si="86"/>
        <v>3343651</v>
      </c>
      <c r="C1123" s="60">
        <f t="shared" si="89"/>
        <v>3343651</v>
      </c>
      <c r="D1123" s="61">
        <f t="shared" si="85"/>
        <v>1</v>
      </c>
      <c r="E1123" s="64">
        <f t="shared" si="87"/>
        <v>334.36506994600978</v>
      </c>
      <c r="F1123" s="62" t="str">
        <f t="shared" si="88"/>
        <v/>
      </c>
    </row>
    <row r="1124" spans="1:6">
      <c r="A1124" s="60">
        <v>111900</v>
      </c>
      <c r="B1124" s="60">
        <f t="shared" si="86"/>
        <v>3345146</v>
      </c>
      <c r="C1124" s="60">
        <f t="shared" si="89"/>
        <v>3345146</v>
      </c>
      <c r="D1124" s="61">
        <f t="shared" si="85"/>
        <v>1</v>
      </c>
      <c r="E1124" s="64">
        <f t="shared" si="87"/>
        <v>334.51457367355459</v>
      </c>
      <c r="F1124" s="62" t="str">
        <f t="shared" si="88"/>
        <v/>
      </c>
    </row>
    <row r="1125" spans="1:6">
      <c r="A1125" s="60">
        <v>112000</v>
      </c>
      <c r="B1125" s="60">
        <f t="shared" si="86"/>
        <v>3346640</v>
      </c>
      <c r="C1125" s="60">
        <f t="shared" si="89"/>
        <v>3346640</v>
      </c>
      <c r="D1125" s="61">
        <f t="shared" si="85"/>
        <v>1</v>
      </c>
      <c r="E1125" s="64">
        <f t="shared" si="87"/>
        <v>334.66401061363024</v>
      </c>
      <c r="F1125" s="62" t="str">
        <f t="shared" si="88"/>
        <v/>
      </c>
    </row>
    <row r="1126" spans="1:6">
      <c r="A1126" s="60">
        <v>112100</v>
      </c>
      <c r="B1126" s="60">
        <f t="shared" si="86"/>
        <v>3348134</v>
      </c>
      <c r="C1126" s="60">
        <f t="shared" si="89"/>
        <v>3348134</v>
      </c>
      <c r="D1126" s="61">
        <f t="shared" si="85"/>
        <v>1</v>
      </c>
      <c r="E1126" s="64">
        <f t="shared" si="87"/>
        <v>334.81338085566415</v>
      </c>
      <c r="F1126" s="62" t="str">
        <f t="shared" si="88"/>
        <v/>
      </c>
    </row>
    <row r="1127" spans="1:6">
      <c r="A1127" s="60">
        <v>112200</v>
      </c>
      <c r="B1127" s="60">
        <f t="shared" si="86"/>
        <v>3349627</v>
      </c>
      <c r="C1127" s="60">
        <f t="shared" si="89"/>
        <v>3349627</v>
      </c>
      <c r="D1127" s="61">
        <f t="shared" si="85"/>
        <v>1</v>
      </c>
      <c r="E1127" s="64">
        <f t="shared" si="87"/>
        <v>334.96268448888452</v>
      </c>
      <c r="F1127" s="62" t="str">
        <f t="shared" si="88"/>
        <v/>
      </c>
    </row>
    <row r="1128" spans="1:6">
      <c r="A1128" s="60">
        <v>112300</v>
      </c>
      <c r="B1128" s="60">
        <f t="shared" si="86"/>
        <v>3351119</v>
      </c>
      <c r="C1128" s="60">
        <f t="shared" si="89"/>
        <v>3351119</v>
      </c>
      <c r="D1128" s="61">
        <f t="shared" si="85"/>
        <v>1</v>
      </c>
      <c r="E1128" s="64">
        <f t="shared" si="87"/>
        <v>335.11192160232082</v>
      </c>
      <c r="F1128" s="62" t="str">
        <f t="shared" si="88"/>
        <v/>
      </c>
    </row>
    <row r="1129" spans="1:6">
      <c r="A1129" s="60">
        <v>112400</v>
      </c>
      <c r="B1129" s="60">
        <f t="shared" si="86"/>
        <v>3352611</v>
      </c>
      <c r="C1129" s="60">
        <f t="shared" si="89"/>
        <v>3352611</v>
      </c>
      <c r="D1129" s="61">
        <f t="shared" si="85"/>
        <v>1</v>
      </c>
      <c r="E1129" s="64">
        <f t="shared" si="87"/>
        <v>335.26109228480419</v>
      </c>
      <c r="F1129" s="62" t="str">
        <f t="shared" si="88"/>
        <v/>
      </c>
    </row>
    <row r="1130" spans="1:6">
      <c r="A1130" s="60">
        <v>112500</v>
      </c>
      <c r="B1130" s="60">
        <f t="shared" si="86"/>
        <v>3354102</v>
      </c>
      <c r="C1130" s="60">
        <f t="shared" si="89"/>
        <v>3354102</v>
      </c>
      <c r="D1130" s="61">
        <f t="shared" si="85"/>
        <v>1</v>
      </c>
      <c r="E1130" s="64">
        <f t="shared" si="87"/>
        <v>335.41019662496848</v>
      </c>
      <c r="F1130" s="62" t="str">
        <f t="shared" si="88"/>
        <v/>
      </c>
    </row>
    <row r="1131" spans="1:6">
      <c r="A1131" s="60">
        <v>112600</v>
      </c>
      <c r="B1131" s="60">
        <f t="shared" si="86"/>
        <v>3355592</v>
      </c>
      <c r="C1131" s="60">
        <f t="shared" si="89"/>
        <v>3355592</v>
      </c>
      <c r="D1131" s="61">
        <f t="shared" si="85"/>
        <v>1</v>
      </c>
      <c r="E1131" s="64">
        <f t="shared" si="87"/>
        <v>335.55923471125033</v>
      </c>
      <c r="F1131" s="62" t="str">
        <f t="shared" si="88"/>
        <v/>
      </c>
    </row>
    <row r="1132" spans="1:6">
      <c r="A1132" s="60">
        <v>112700</v>
      </c>
      <c r="B1132" s="60">
        <f t="shared" si="86"/>
        <v>3357082</v>
      </c>
      <c r="C1132" s="60">
        <f t="shared" si="89"/>
        <v>3357082</v>
      </c>
      <c r="D1132" s="61">
        <f t="shared" si="85"/>
        <v>1</v>
      </c>
      <c r="E1132" s="64">
        <f t="shared" si="87"/>
        <v>335.70820663189039</v>
      </c>
      <c r="F1132" s="62" t="str">
        <f t="shared" si="88"/>
        <v/>
      </c>
    </row>
    <row r="1133" spans="1:6">
      <c r="A1133" s="60">
        <v>112800</v>
      </c>
      <c r="B1133" s="60">
        <f t="shared" si="86"/>
        <v>3358571</v>
      </c>
      <c r="C1133" s="60">
        <f t="shared" si="89"/>
        <v>3358571</v>
      </c>
      <c r="D1133" s="61">
        <f t="shared" si="85"/>
        <v>1</v>
      </c>
      <c r="E1133" s="64">
        <f t="shared" si="87"/>
        <v>335.85711247493333</v>
      </c>
      <c r="F1133" s="62" t="str">
        <f t="shared" si="88"/>
        <v/>
      </c>
    </row>
    <row r="1134" spans="1:6">
      <c r="A1134" s="60">
        <v>112900</v>
      </c>
      <c r="B1134" s="60">
        <f t="shared" si="86"/>
        <v>3360060</v>
      </c>
      <c r="C1134" s="60">
        <f t="shared" si="89"/>
        <v>3360060</v>
      </c>
      <c r="D1134" s="61">
        <f t="shared" si="85"/>
        <v>1</v>
      </c>
      <c r="E1134" s="64">
        <f t="shared" si="87"/>
        <v>336.00595232822883</v>
      </c>
      <c r="F1134" s="62" t="str">
        <f t="shared" si="88"/>
        <v/>
      </c>
    </row>
    <row r="1135" spans="1:6">
      <c r="A1135" s="60">
        <v>113000</v>
      </c>
      <c r="B1135" s="60">
        <f t="shared" si="86"/>
        <v>3361547</v>
      </c>
      <c r="C1135" s="60">
        <f t="shared" si="89"/>
        <v>3361547</v>
      </c>
      <c r="D1135" s="61">
        <f t="shared" si="85"/>
        <v>1</v>
      </c>
      <c r="E1135" s="64">
        <f t="shared" si="87"/>
        <v>336.15472627943223</v>
      </c>
      <c r="F1135" s="62" t="str">
        <f t="shared" si="88"/>
        <v/>
      </c>
    </row>
    <row r="1136" spans="1:6">
      <c r="A1136" s="60">
        <v>113100</v>
      </c>
      <c r="B1136" s="60">
        <f t="shared" si="86"/>
        <v>3363034</v>
      </c>
      <c r="C1136" s="60">
        <f t="shared" si="89"/>
        <v>3363034</v>
      </c>
      <c r="D1136" s="61">
        <f t="shared" si="85"/>
        <v>1</v>
      </c>
      <c r="E1136" s="64">
        <f t="shared" si="87"/>
        <v>336.30343441600473</v>
      </c>
      <c r="F1136" s="62" t="str">
        <f t="shared" si="88"/>
        <v/>
      </c>
    </row>
    <row r="1137" spans="1:6">
      <c r="A1137" s="60">
        <v>113200</v>
      </c>
      <c r="B1137" s="60">
        <f t="shared" si="86"/>
        <v>3364521</v>
      </c>
      <c r="C1137" s="60">
        <f t="shared" si="89"/>
        <v>3364521</v>
      </c>
      <c r="D1137" s="61">
        <f t="shared" si="85"/>
        <v>1</v>
      </c>
      <c r="E1137" s="64">
        <f t="shared" si="87"/>
        <v>336.45207682521442</v>
      </c>
      <c r="F1137" s="62" t="str">
        <f t="shared" si="88"/>
        <v/>
      </c>
    </row>
    <row r="1138" spans="1:6">
      <c r="A1138" s="60">
        <v>113300</v>
      </c>
      <c r="B1138" s="60">
        <f t="shared" si="86"/>
        <v>3366007</v>
      </c>
      <c r="C1138" s="60">
        <f t="shared" si="89"/>
        <v>3366007</v>
      </c>
      <c r="D1138" s="61">
        <f t="shared" si="85"/>
        <v>1</v>
      </c>
      <c r="E1138" s="64">
        <f t="shared" si="87"/>
        <v>336.6006535941367</v>
      </c>
      <c r="F1138" s="62" t="str">
        <f t="shared" si="88"/>
        <v/>
      </c>
    </row>
    <row r="1139" spans="1:6">
      <c r="A1139" s="60">
        <v>113400</v>
      </c>
      <c r="B1139" s="60">
        <f t="shared" si="86"/>
        <v>3367492</v>
      </c>
      <c r="C1139" s="60">
        <f t="shared" si="89"/>
        <v>3367492</v>
      </c>
      <c r="D1139" s="61">
        <f t="shared" si="85"/>
        <v>1</v>
      </c>
      <c r="E1139" s="64">
        <f t="shared" si="87"/>
        <v>336.7491648096547</v>
      </c>
      <c r="F1139" s="62" t="str">
        <f t="shared" si="88"/>
        <v/>
      </c>
    </row>
    <row r="1140" spans="1:6">
      <c r="A1140" s="60">
        <v>113500</v>
      </c>
      <c r="B1140" s="60">
        <f t="shared" si="86"/>
        <v>3368976</v>
      </c>
      <c r="C1140" s="60">
        <f t="shared" si="89"/>
        <v>3368976</v>
      </c>
      <c r="D1140" s="61">
        <f t="shared" si="85"/>
        <v>1</v>
      </c>
      <c r="E1140" s="64">
        <f t="shared" si="87"/>
        <v>336.89761055846031</v>
      </c>
      <c r="F1140" s="62" t="str">
        <f t="shared" si="88"/>
        <v/>
      </c>
    </row>
    <row r="1141" spans="1:6">
      <c r="A1141" s="60">
        <v>113600</v>
      </c>
      <c r="B1141" s="60">
        <f t="shared" si="86"/>
        <v>3370460</v>
      </c>
      <c r="C1141" s="60">
        <f t="shared" si="89"/>
        <v>3370460</v>
      </c>
      <c r="D1141" s="61">
        <f t="shared" si="85"/>
        <v>1</v>
      </c>
      <c r="E1141" s="64">
        <f t="shared" si="87"/>
        <v>337.04599092705433</v>
      </c>
      <c r="F1141" s="62" t="str">
        <f t="shared" si="88"/>
        <v/>
      </c>
    </row>
    <row r="1142" spans="1:6">
      <c r="A1142" s="60">
        <v>113700</v>
      </c>
      <c r="B1142" s="60">
        <f t="shared" si="86"/>
        <v>3371943</v>
      </c>
      <c r="C1142" s="60">
        <f t="shared" si="89"/>
        <v>3371943</v>
      </c>
      <c r="D1142" s="61">
        <f t="shared" si="85"/>
        <v>1</v>
      </c>
      <c r="E1142" s="64">
        <f t="shared" si="87"/>
        <v>337.19430600174729</v>
      </c>
      <c r="F1142" s="62" t="str">
        <f t="shared" si="88"/>
        <v/>
      </c>
    </row>
    <row r="1143" spans="1:6">
      <c r="A1143" s="60">
        <v>113800</v>
      </c>
      <c r="B1143" s="60">
        <f t="shared" si="86"/>
        <v>3373426</v>
      </c>
      <c r="C1143" s="60">
        <f t="shared" si="89"/>
        <v>3373426</v>
      </c>
      <c r="D1143" s="61">
        <f t="shared" si="85"/>
        <v>1</v>
      </c>
      <c r="E1143" s="64">
        <f t="shared" si="87"/>
        <v>337.34255586865999</v>
      </c>
      <c r="F1143" s="62" t="str">
        <f t="shared" si="88"/>
        <v/>
      </c>
    </row>
    <row r="1144" spans="1:6">
      <c r="A1144" s="60">
        <v>113900</v>
      </c>
      <c r="B1144" s="60">
        <f t="shared" si="86"/>
        <v>3374907</v>
      </c>
      <c r="C1144" s="60">
        <f t="shared" si="89"/>
        <v>3374907</v>
      </c>
      <c r="D1144" s="61">
        <f t="shared" si="85"/>
        <v>1</v>
      </c>
      <c r="E1144" s="64">
        <f t="shared" si="87"/>
        <v>337.49074061372409</v>
      </c>
      <c r="F1144" s="62" t="str">
        <f t="shared" si="88"/>
        <v/>
      </c>
    </row>
    <row r="1145" spans="1:6">
      <c r="A1145" s="60">
        <v>114000</v>
      </c>
      <c r="B1145" s="60">
        <f t="shared" si="86"/>
        <v>3376389</v>
      </c>
      <c r="C1145" s="60">
        <f t="shared" si="89"/>
        <v>3376389</v>
      </c>
      <c r="D1145" s="61">
        <f t="shared" si="85"/>
        <v>1</v>
      </c>
      <c r="E1145" s="64">
        <f t="shared" si="87"/>
        <v>337.63886032268266</v>
      </c>
      <c r="F1145" s="62" t="str">
        <f t="shared" si="88"/>
        <v/>
      </c>
    </row>
    <row r="1146" spans="1:6">
      <c r="A1146" s="60">
        <v>114100</v>
      </c>
      <c r="B1146" s="60">
        <f t="shared" si="86"/>
        <v>3377869</v>
      </c>
      <c r="C1146" s="60">
        <f t="shared" si="89"/>
        <v>3377869</v>
      </c>
      <c r="D1146" s="61">
        <f t="shared" si="85"/>
        <v>1</v>
      </c>
      <c r="E1146" s="64">
        <f t="shared" si="87"/>
        <v>337.78691508109074</v>
      </c>
      <c r="F1146" s="62" t="str">
        <f t="shared" si="88"/>
        <v/>
      </c>
    </row>
    <row r="1147" spans="1:6">
      <c r="A1147" s="60">
        <v>114200</v>
      </c>
      <c r="B1147" s="60">
        <f t="shared" si="86"/>
        <v>3379349</v>
      </c>
      <c r="C1147" s="60">
        <f t="shared" si="89"/>
        <v>3379349</v>
      </c>
      <c r="D1147" s="61">
        <f t="shared" si="85"/>
        <v>1</v>
      </c>
      <c r="E1147" s="64">
        <f t="shared" si="87"/>
        <v>337.934904974316</v>
      </c>
      <c r="F1147" s="62" t="str">
        <f t="shared" si="88"/>
        <v/>
      </c>
    </row>
    <row r="1148" spans="1:6">
      <c r="A1148" s="60">
        <v>114300</v>
      </c>
      <c r="B1148" s="60">
        <f t="shared" si="86"/>
        <v>3380828</v>
      </c>
      <c r="C1148" s="60">
        <f t="shared" si="89"/>
        <v>3380828</v>
      </c>
      <c r="D1148" s="61">
        <f t="shared" si="85"/>
        <v>1</v>
      </c>
      <c r="E1148" s="64">
        <f t="shared" si="87"/>
        <v>338.08283008753932</v>
      </c>
      <c r="F1148" s="62" t="str">
        <f t="shared" si="88"/>
        <v/>
      </c>
    </row>
    <row r="1149" spans="1:6">
      <c r="A1149" s="60">
        <v>114400</v>
      </c>
      <c r="B1149" s="60">
        <f t="shared" si="86"/>
        <v>3382307</v>
      </c>
      <c r="C1149" s="60">
        <f t="shared" si="89"/>
        <v>3382307</v>
      </c>
      <c r="D1149" s="61">
        <f t="shared" si="85"/>
        <v>1</v>
      </c>
      <c r="E1149" s="64">
        <f t="shared" si="87"/>
        <v>338.23069050575526</v>
      </c>
      <c r="F1149" s="62" t="str">
        <f t="shared" si="88"/>
        <v/>
      </c>
    </row>
    <row r="1150" spans="1:6">
      <c r="A1150" s="60">
        <v>114500</v>
      </c>
      <c r="B1150" s="60">
        <f t="shared" si="86"/>
        <v>3383785</v>
      </c>
      <c r="C1150" s="60">
        <f t="shared" si="89"/>
        <v>3383785</v>
      </c>
      <c r="D1150" s="61">
        <f t="shared" si="85"/>
        <v>1</v>
      </c>
      <c r="E1150" s="64">
        <f t="shared" si="87"/>
        <v>338.37848631377261</v>
      </c>
      <c r="F1150" s="62" t="str">
        <f t="shared" si="88"/>
        <v/>
      </c>
    </row>
    <row r="1151" spans="1:6">
      <c r="A1151" s="60">
        <v>114600</v>
      </c>
      <c r="B1151" s="60">
        <f t="shared" si="86"/>
        <v>3385262</v>
      </c>
      <c r="C1151" s="60">
        <f t="shared" si="89"/>
        <v>3385262</v>
      </c>
      <c r="D1151" s="61">
        <f t="shared" si="85"/>
        <v>1</v>
      </c>
      <c r="E1151" s="64">
        <f t="shared" si="87"/>
        <v>338.52621759621513</v>
      </c>
      <c r="F1151" s="62" t="str">
        <f t="shared" si="88"/>
        <v/>
      </c>
    </row>
    <row r="1152" spans="1:6">
      <c r="A1152" s="60">
        <v>114700</v>
      </c>
      <c r="B1152" s="60">
        <f t="shared" si="86"/>
        <v>3386739</v>
      </c>
      <c r="C1152" s="60">
        <f t="shared" si="89"/>
        <v>3386739</v>
      </c>
      <c r="D1152" s="61">
        <f t="shared" si="85"/>
        <v>1</v>
      </c>
      <c r="E1152" s="64">
        <f t="shared" si="87"/>
        <v>338.67388443752196</v>
      </c>
      <c r="F1152" s="62" t="str">
        <f t="shared" si="88"/>
        <v/>
      </c>
    </row>
    <row r="1153" spans="1:6">
      <c r="A1153" s="60">
        <v>114800</v>
      </c>
      <c r="B1153" s="60">
        <f t="shared" si="86"/>
        <v>3388215</v>
      </c>
      <c r="C1153" s="60">
        <f t="shared" si="89"/>
        <v>3388215</v>
      </c>
      <c r="D1153" s="61">
        <f t="shared" si="85"/>
        <v>1</v>
      </c>
      <c r="E1153" s="64">
        <f t="shared" si="87"/>
        <v>338.82148692194835</v>
      </c>
      <c r="F1153" s="62" t="str">
        <f t="shared" si="88"/>
        <v/>
      </c>
    </row>
    <row r="1154" spans="1:6">
      <c r="A1154" s="60">
        <v>114900</v>
      </c>
      <c r="B1154" s="60">
        <f t="shared" si="86"/>
        <v>3389690</v>
      </c>
      <c r="C1154" s="60">
        <f t="shared" si="89"/>
        <v>3389690</v>
      </c>
      <c r="D1154" s="61">
        <f t="shared" si="85"/>
        <v>1</v>
      </c>
      <c r="E1154" s="64">
        <f t="shared" si="87"/>
        <v>338.96902513356588</v>
      </c>
      <c r="F1154" s="62" t="str">
        <f t="shared" si="88"/>
        <v/>
      </c>
    </row>
    <row r="1155" spans="1:6">
      <c r="A1155" s="60">
        <v>115000</v>
      </c>
      <c r="B1155" s="60">
        <f t="shared" si="86"/>
        <v>3391165</v>
      </c>
      <c r="C1155" s="60">
        <f t="shared" si="89"/>
        <v>3391165</v>
      </c>
      <c r="D1155" s="61">
        <f t="shared" si="85"/>
        <v>1</v>
      </c>
      <c r="E1155" s="64">
        <f t="shared" si="87"/>
        <v>339.11649915626339</v>
      </c>
      <c r="F1155" s="62" t="str">
        <f t="shared" si="88"/>
        <v/>
      </c>
    </row>
    <row r="1156" spans="1:6">
      <c r="A1156" s="60">
        <v>115100</v>
      </c>
      <c r="B1156" s="60">
        <f t="shared" si="86"/>
        <v>3392639</v>
      </c>
      <c r="C1156" s="60">
        <f t="shared" si="89"/>
        <v>3392639</v>
      </c>
      <c r="D1156" s="61">
        <f t="shared" si="85"/>
        <v>1</v>
      </c>
      <c r="E1156" s="64">
        <f t="shared" si="87"/>
        <v>339.26390907374747</v>
      </c>
      <c r="F1156" s="62" t="str">
        <f t="shared" si="88"/>
        <v/>
      </c>
    </row>
    <row r="1157" spans="1:6">
      <c r="A1157" s="60">
        <v>115200</v>
      </c>
      <c r="B1157" s="60">
        <f t="shared" si="86"/>
        <v>3394113</v>
      </c>
      <c r="C1157" s="60">
        <f t="shared" si="89"/>
        <v>3394113</v>
      </c>
      <c r="D1157" s="61">
        <f t="shared" ref="D1157:D1220" si="90">(A1157-INDEX(兵力区间,MATCH(A1157,兵力区间,1)))/(INDEX(兵力区间,MATCH(A1157,兵力区间,1)+1)-INDEX(兵力区间,MATCH(A1157,兵力区间,1)))*((INDEX(兵力调节,MATCH(A1157,兵力区间,1)+1,2)-INDEX(兵力调节,MATCH(A1157,兵力区间,1),2)))+INDEX(兵力调节,MATCH(A1157,兵力区间,1),2)</f>
        <v>1</v>
      </c>
      <c r="E1157" s="64">
        <f t="shared" si="87"/>
        <v>339.41125496954282</v>
      </c>
      <c r="F1157" s="62" t="str">
        <f t="shared" si="88"/>
        <v/>
      </c>
    </row>
    <row r="1158" spans="1:6">
      <c r="A1158" s="60">
        <v>115300</v>
      </c>
      <c r="B1158" s="60">
        <f t="shared" si="86"/>
        <v>3395585</v>
      </c>
      <c r="C1158" s="60">
        <f t="shared" si="89"/>
        <v>3395585</v>
      </c>
      <c r="D1158" s="61">
        <f t="shared" si="90"/>
        <v>1</v>
      </c>
      <c r="E1158" s="64">
        <f t="shared" si="87"/>
        <v>339.55853692699287</v>
      </c>
      <c r="F1158" s="62" t="str">
        <f t="shared" si="88"/>
        <v/>
      </c>
    </row>
    <row r="1159" spans="1:6">
      <c r="A1159" s="60">
        <v>115400</v>
      </c>
      <c r="B1159" s="60">
        <f t="shared" ref="B1159:B1222" si="91">ROUND(D1159*E1159*10000,0)</f>
        <v>3397058</v>
      </c>
      <c r="C1159" s="60">
        <f t="shared" si="89"/>
        <v>3397058</v>
      </c>
      <c r="D1159" s="61">
        <f t="shared" si="90"/>
        <v>1</v>
      </c>
      <c r="E1159" s="64">
        <f t="shared" ref="E1159:E1222" si="92">A1159^0.5</f>
        <v>339.70575502926056</v>
      </c>
      <c r="F1159" s="62" t="str">
        <f t="shared" si="88"/>
        <v/>
      </c>
    </row>
    <row r="1160" spans="1:6">
      <c r="A1160" s="60">
        <v>115500</v>
      </c>
      <c r="B1160" s="60">
        <f t="shared" si="91"/>
        <v>3398529</v>
      </c>
      <c r="C1160" s="60">
        <f t="shared" si="89"/>
        <v>3398529</v>
      </c>
      <c r="D1160" s="61">
        <f t="shared" si="90"/>
        <v>1</v>
      </c>
      <c r="E1160" s="64">
        <f t="shared" si="92"/>
        <v>339.85290935932858</v>
      </c>
      <c r="F1160" s="62" t="str">
        <f t="shared" ref="F1160:F1223" si="93">IF(B1160&lt;B1159,1,"")</f>
        <v/>
      </c>
    </row>
    <row r="1161" spans="1:6">
      <c r="A1161" s="60">
        <v>115600</v>
      </c>
      <c r="B1161" s="60">
        <f t="shared" si="91"/>
        <v>3400000</v>
      </c>
      <c r="C1161" s="60">
        <f t="shared" si="89"/>
        <v>3400000</v>
      </c>
      <c r="D1161" s="61">
        <f t="shared" si="90"/>
        <v>1</v>
      </c>
      <c r="E1161" s="64">
        <f t="shared" si="92"/>
        <v>340</v>
      </c>
      <c r="F1161" s="62" t="str">
        <f t="shared" si="93"/>
        <v/>
      </c>
    </row>
    <row r="1162" spans="1:6">
      <c r="A1162" s="60">
        <v>115700</v>
      </c>
      <c r="B1162" s="60">
        <f t="shared" si="91"/>
        <v>3401470</v>
      </c>
      <c r="C1162" s="60">
        <f t="shared" si="89"/>
        <v>3401470</v>
      </c>
      <c r="D1162" s="61">
        <f t="shared" si="90"/>
        <v>1</v>
      </c>
      <c r="E1162" s="64">
        <f t="shared" si="92"/>
        <v>340.14702703389895</v>
      </c>
      <c r="F1162" s="62" t="str">
        <f t="shared" si="93"/>
        <v/>
      </c>
    </row>
    <row r="1163" spans="1:6">
      <c r="A1163" s="60">
        <v>115800</v>
      </c>
      <c r="B1163" s="60">
        <f t="shared" si="91"/>
        <v>3402940</v>
      </c>
      <c r="C1163" s="60">
        <f t="shared" ref="C1163:C1226" si="94">ROUND(D1163*E1163*10000,0)</f>
        <v>3402940</v>
      </c>
      <c r="D1163" s="61">
        <f t="shared" si="90"/>
        <v>1</v>
      </c>
      <c r="E1163" s="64">
        <f t="shared" si="92"/>
        <v>340.29399054347112</v>
      </c>
      <c r="F1163" s="62" t="str">
        <f t="shared" si="93"/>
        <v/>
      </c>
    </row>
    <row r="1164" spans="1:6">
      <c r="A1164" s="60">
        <v>115900</v>
      </c>
      <c r="B1164" s="60">
        <f t="shared" si="91"/>
        <v>3404409</v>
      </c>
      <c r="C1164" s="60">
        <f t="shared" si="94"/>
        <v>3404409</v>
      </c>
      <c r="D1164" s="61">
        <f t="shared" si="90"/>
        <v>1</v>
      </c>
      <c r="E1164" s="64">
        <f t="shared" si="92"/>
        <v>340.44089061098401</v>
      </c>
      <c r="F1164" s="62" t="str">
        <f t="shared" si="93"/>
        <v/>
      </c>
    </row>
    <row r="1165" spans="1:6">
      <c r="A1165" s="60">
        <v>116000</v>
      </c>
      <c r="B1165" s="60">
        <f t="shared" si="91"/>
        <v>3405877</v>
      </c>
      <c r="C1165" s="60">
        <f t="shared" si="94"/>
        <v>3405877</v>
      </c>
      <c r="D1165" s="61">
        <f t="shared" si="90"/>
        <v>1</v>
      </c>
      <c r="E1165" s="64">
        <f t="shared" si="92"/>
        <v>340.58772731852804</v>
      </c>
      <c r="F1165" s="62" t="str">
        <f t="shared" si="93"/>
        <v/>
      </c>
    </row>
    <row r="1166" spans="1:6">
      <c r="A1166" s="60">
        <v>116100</v>
      </c>
      <c r="B1166" s="60">
        <f t="shared" si="91"/>
        <v>3407345</v>
      </c>
      <c r="C1166" s="60">
        <f t="shared" si="94"/>
        <v>3407345</v>
      </c>
      <c r="D1166" s="61">
        <f t="shared" si="90"/>
        <v>1</v>
      </c>
      <c r="E1166" s="64">
        <f t="shared" si="92"/>
        <v>340.73450074801644</v>
      </c>
      <c r="F1166" s="62" t="str">
        <f t="shared" si="93"/>
        <v/>
      </c>
    </row>
    <row r="1167" spans="1:6">
      <c r="A1167" s="60">
        <v>116200</v>
      </c>
      <c r="B1167" s="60">
        <f t="shared" si="91"/>
        <v>3408812</v>
      </c>
      <c r="C1167" s="60">
        <f t="shared" si="94"/>
        <v>3408812</v>
      </c>
      <c r="D1167" s="61">
        <f t="shared" si="90"/>
        <v>1</v>
      </c>
      <c r="E1167" s="64">
        <f t="shared" si="92"/>
        <v>340.88121098118626</v>
      </c>
      <c r="F1167" s="62" t="str">
        <f t="shared" si="93"/>
        <v/>
      </c>
    </row>
    <row r="1168" spans="1:6">
      <c r="A1168" s="60">
        <v>116300</v>
      </c>
      <c r="B1168" s="60">
        <f t="shared" si="91"/>
        <v>3410279</v>
      </c>
      <c r="C1168" s="60">
        <f t="shared" si="94"/>
        <v>3410279</v>
      </c>
      <c r="D1168" s="61">
        <f t="shared" si="90"/>
        <v>1</v>
      </c>
      <c r="E1168" s="64">
        <f t="shared" si="92"/>
        <v>341.02785809959869</v>
      </c>
      <c r="F1168" s="62" t="str">
        <f t="shared" si="93"/>
        <v/>
      </c>
    </row>
    <row r="1169" spans="1:6">
      <c r="A1169" s="60">
        <v>116400</v>
      </c>
      <c r="B1169" s="60">
        <f t="shared" si="91"/>
        <v>3411744</v>
      </c>
      <c r="C1169" s="60">
        <f t="shared" si="94"/>
        <v>3411744</v>
      </c>
      <c r="D1169" s="61">
        <f t="shared" si="90"/>
        <v>1</v>
      </c>
      <c r="E1169" s="64">
        <f t="shared" si="92"/>
        <v>341.17444218463959</v>
      </c>
      <c r="F1169" s="62" t="str">
        <f t="shared" si="93"/>
        <v/>
      </c>
    </row>
    <row r="1170" spans="1:6">
      <c r="A1170" s="60">
        <v>116500</v>
      </c>
      <c r="B1170" s="60">
        <f t="shared" si="91"/>
        <v>3413210</v>
      </c>
      <c r="C1170" s="60">
        <f t="shared" si="94"/>
        <v>3413210</v>
      </c>
      <c r="D1170" s="61">
        <f t="shared" si="90"/>
        <v>1</v>
      </c>
      <c r="E1170" s="64">
        <f t="shared" si="92"/>
        <v>341.32096331752024</v>
      </c>
      <c r="F1170" s="62" t="str">
        <f t="shared" si="93"/>
        <v/>
      </c>
    </row>
    <row r="1171" spans="1:6">
      <c r="A1171" s="60">
        <v>116600</v>
      </c>
      <c r="B1171" s="60">
        <f t="shared" si="91"/>
        <v>3414674</v>
      </c>
      <c r="C1171" s="60">
        <f t="shared" si="94"/>
        <v>3414674</v>
      </c>
      <c r="D1171" s="61">
        <f t="shared" si="90"/>
        <v>1</v>
      </c>
      <c r="E1171" s="64">
        <f t="shared" si="92"/>
        <v>341.46742157927747</v>
      </c>
      <c r="F1171" s="62" t="str">
        <f t="shared" si="93"/>
        <v/>
      </c>
    </row>
    <row r="1172" spans="1:6">
      <c r="A1172" s="60">
        <v>116700</v>
      </c>
      <c r="B1172" s="60">
        <f t="shared" si="91"/>
        <v>3416138</v>
      </c>
      <c r="C1172" s="60">
        <f t="shared" si="94"/>
        <v>3416138</v>
      </c>
      <c r="D1172" s="61">
        <f t="shared" si="90"/>
        <v>1</v>
      </c>
      <c r="E1172" s="64">
        <f t="shared" si="92"/>
        <v>341.61381705077446</v>
      </c>
      <c r="F1172" s="62" t="str">
        <f t="shared" si="93"/>
        <v/>
      </c>
    </row>
    <row r="1173" spans="1:6">
      <c r="A1173" s="60">
        <v>116800</v>
      </c>
      <c r="B1173" s="60">
        <f t="shared" si="91"/>
        <v>3417601</v>
      </c>
      <c r="C1173" s="60">
        <f t="shared" si="94"/>
        <v>3417601</v>
      </c>
      <c r="D1173" s="61">
        <f t="shared" si="90"/>
        <v>1</v>
      </c>
      <c r="E1173" s="64">
        <f t="shared" si="92"/>
        <v>341.76014981270123</v>
      </c>
      <c r="F1173" s="62" t="str">
        <f t="shared" si="93"/>
        <v/>
      </c>
    </row>
    <row r="1174" spans="1:6">
      <c r="A1174" s="60">
        <v>116900</v>
      </c>
      <c r="B1174" s="60">
        <f t="shared" si="91"/>
        <v>3419064</v>
      </c>
      <c r="C1174" s="60">
        <f t="shared" si="94"/>
        <v>3419064</v>
      </c>
      <c r="D1174" s="61">
        <f t="shared" si="90"/>
        <v>1</v>
      </c>
      <c r="E1174" s="64">
        <f t="shared" si="92"/>
        <v>341.90641994557518</v>
      </c>
      <c r="F1174" s="62" t="str">
        <f t="shared" si="93"/>
        <v/>
      </c>
    </row>
    <row r="1175" spans="1:6">
      <c r="A1175" s="60">
        <v>117000</v>
      </c>
      <c r="B1175" s="60">
        <f t="shared" si="91"/>
        <v>3420526</v>
      </c>
      <c r="C1175" s="60">
        <f t="shared" si="94"/>
        <v>3420526</v>
      </c>
      <c r="D1175" s="61">
        <f t="shared" si="90"/>
        <v>1</v>
      </c>
      <c r="E1175" s="64">
        <f t="shared" si="92"/>
        <v>342.05262752974141</v>
      </c>
      <c r="F1175" s="62" t="str">
        <f t="shared" si="93"/>
        <v/>
      </c>
    </row>
    <row r="1176" spans="1:6">
      <c r="A1176" s="60">
        <v>117100</v>
      </c>
      <c r="B1176" s="60">
        <f t="shared" si="91"/>
        <v>3421988</v>
      </c>
      <c r="C1176" s="60">
        <f t="shared" si="94"/>
        <v>3421988</v>
      </c>
      <c r="D1176" s="61">
        <f t="shared" si="90"/>
        <v>1</v>
      </c>
      <c r="E1176" s="64">
        <f t="shared" si="92"/>
        <v>342.19877264537348</v>
      </c>
      <c r="F1176" s="62" t="str">
        <f t="shared" si="93"/>
        <v/>
      </c>
    </row>
    <row r="1177" spans="1:6">
      <c r="A1177" s="60">
        <v>117200</v>
      </c>
      <c r="B1177" s="60">
        <f t="shared" si="91"/>
        <v>3423449</v>
      </c>
      <c r="C1177" s="60">
        <f t="shared" si="94"/>
        <v>3423449</v>
      </c>
      <c r="D1177" s="61">
        <f t="shared" si="90"/>
        <v>1</v>
      </c>
      <c r="E1177" s="64">
        <f t="shared" si="92"/>
        <v>342.34485537247377</v>
      </c>
      <c r="F1177" s="62" t="str">
        <f t="shared" si="93"/>
        <v/>
      </c>
    </row>
    <row r="1178" spans="1:6">
      <c r="A1178" s="60">
        <v>117300</v>
      </c>
      <c r="B1178" s="60">
        <f t="shared" si="91"/>
        <v>3424909</v>
      </c>
      <c r="C1178" s="60">
        <f t="shared" si="94"/>
        <v>3424909</v>
      </c>
      <c r="D1178" s="61">
        <f t="shared" si="90"/>
        <v>1</v>
      </c>
      <c r="E1178" s="64">
        <f t="shared" si="92"/>
        <v>342.49087579087416</v>
      </c>
      <c r="F1178" s="62" t="str">
        <f t="shared" si="93"/>
        <v/>
      </c>
    </row>
    <row r="1179" spans="1:6">
      <c r="A1179" s="60">
        <v>117400</v>
      </c>
      <c r="B1179" s="60">
        <f t="shared" si="91"/>
        <v>3426368</v>
      </c>
      <c r="C1179" s="60">
        <f t="shared" si="94"/>
        <v>3426368</v>
      </c>
      <c r="D1179" s="61">
        <f t="shared" si="90"/>
        <v>1</v>
      </c>
      <c r="E1179" s="64">
        <f t="shared" si="92"/>
        <v>342.6368339802363</v>
      </c>
      <c r="F1179" s="62" t="str">
        <f t="shared" si="93"/>
        <v/>
      </c>
    </row>
    <row r="1180" spans="1:6">
      <c r="A1180" s="60">
        <v>117500</v>
      </c>
      <c r="B1180" s="60">
        <f t="shared" si="91"/>
        <v>3427827</v>
      </c>
      <c r="C1180" s="60">
        <f t="shared" si="94"/>
        <v>3427827</v>
      </c>
      <c r="D1180" s="61">
        <f t="shared" si="90"/>
        <v>1</v>
      </c>
      <c r="E1180" s="64">
        <f t="shared" si="92"/>
        <v>342.78273002005221</v>
      </c>
      <c r="F1180" s="62" t="str">
        <f t="shared" si="93"/>
        <v/>
      </c>
    </row>
    <row r="1181" spans="1:6">
      <c r="A1181" s="60">
        <v>117600</v>
      </c>
      <c r="B1181" s="60">
        <f t="shared" si="91"/>
        <v>3429286</v>
      </c>
      <c r="C1181" s="60">
        <f t="shared" si="94"/>
        <v>3429286</v>
      </c>
      <c r="D1181" s="61">
        <f t="shared" si="90"/>
        <v>1</v>
      </c>
      <c r="E1181" s="64">
        <f t="shared" si="92"/>
        <v>342.92856398964494</v>
      </c>
      <c r="F1181" s="62" t="str">
        <f t="shared" si="93"/>
        <v/>
      </c>
    </row>
    <row r="1182" spans="1:6">
      <c r="A1182" s="60">
        <v>117700</v>
      </c>
      <c r="B1182" s="60">
        <f t="shared" si="91"/>
        <v>3430743</v>
      </c>
      <c r="C1182" s="60">
        <f t="shared" si="94"/>
        <v>3430743</v>
      </c>
      <c r="D1182" s="61">
        <f t="shared" si="90"/>
        <v>1</v>
      </c>
      <c r="E1182" s="64">
        <f t="shared" si="92"/>
        <v>343.07433596816884</v>
      </c>
      <c r="F1182" s="62" t="str">
        <f t="shared" si="93"/>
        <v/>
      </c>
    </row>
    <row r="1183" spans="1:6">
      <c r="A1183" s="60">
        <v>117800</v>
      </c>
      <c r="B1183" s="60">
        <f t="shared" si="91"/>
        <v>3432200</v>
      </c>
      <c r="C1183" s="60">
        <f t="shared" si="94"/>
        <v>3432200</v>
      </c>
      <c r="D1183" s="61">
        <f t="shared" si="90"/>
        <v>1</v>
      </c>
      <c r="E1183" s="64">
        <f t="shared" si="92"/>
        <v>343.22004603461028</v>
      </c>
      <c r="F1183" s="62" t="str">
        <f t="shared" si="93"/>
        <v/>
      </c>
    </row>
    <row r="1184" spans="1:6">
      <c r="A1184" s="60">
        <v>117900</v>
      </c>
      <c r="B1184" s="60">
        <f t="shared" si="91"/>
        <v>3433657</v>
      </c>
      <c r="C1184" s="60">
        <f t="shared" si="94"/>
        <v>3433657</v>
      </c>
      <c r="D1184" s="61">
        <f t="shared" si="90"/>
        <v>1</v>
      </c>
      <c r="E1184" s="64">
        <f t="shared" si="92"/>
        <v>343.36569426778789</v>
      </c>
      <c r="F1184" s="62" t="str">
        <f t="shared" si="93"/>
        <v/>
      </c>
    </row>
    <row r="1185" spans="1:6">
      <c r="A1185" s="60">
        <v>118000</v>
      </c>
      <c r="B1185" s="60">
        <f t="shared" si="91"/>
        <v>3435113</v>
      </c>
      <c r="C1185" s="60">
        <f t="shared" si="94"/>
        <v>3435113</v>
      </c>
      <c r="D1185" s="61">
        <f t="shared" si="90"/>
        <v>1</v>
      </c>
      <c r="E1185" s="64">
        <f t="shared" si="92"/>
        <v>343.51128074635335</v>
      </c>
      <c r="F1185" s="62" t="str">
        <f t="shared" si="93"/>
        <v/>
      </c>
    </row>
    <row r="1186" spans="1:6">
      <c r="A1186" s="60">
        <v>118100</v>
      </c>
      <c r="B1186" s="60">
        <f t="shared" si="91"/>
        <v>3436568</v>
      </c>
      <c r="C1186" s="60">
        <f t="shared" si="94"/>
        <v>3436568</v>
      </c>
      <c r="D1186" s="61">
        <f t="shared" si="90"/>
        <v>1</v>
      </c>
      <c r="E1186" s="64">
        <f t="shared" si="92"/>
        <v>343.65680554879168</v>
      </c>
      <c r="F1186" s="62" t="str">
        <f t="shared" si="93"/>
        <v/>
      </c>
    </row>
    <row r="1187" spans="1:6">
      <c r="A1187" s="60">
        <v>118200</v>
      </c>
      <c r="B1187" s="60">
        <f t="shared" si="91"/>
        <v>3438023</v>
      </c>
      <c r="C1187" s="60">
        <f t="shared" si="94"/>
        <v>3438023</v>
      </c>
      <c r="D1187" s="61">
        <f t="shared" si="90"/>
        <v>1</v>
      </c>
      <c r="E1187" s="64">
        <f t="shared" si="92"/>
        <v>343.80226875342169</v>
      </c>
      <c r="F1187" s="62" t="str">
        <f t="shared" si="93"/>
        <v/>
      </c>
    </row>
    <row r="1188" spans="1:6">
      <c r="A1188" s="60">
        <v>118300</v>
      </c>
      <c r="B1188" s="60">
        <f t="shared" si="91"/>
        <v>3439477</v>
      </c>
      <c r="C1188" s="60">
        <f t="shared" si="94"/>
        <v>3439477</v>
      </c>
      <c r="D1188" s="61">
        <f t="shared" si="90"/>
        <v>1</v>
      </c>
      <c r="E1188" s="64">
        <f t="shared" si="92"/>
        <v>343.94767043839676</v>
      </c>
      <c r="F1188" s="62" t="str">
        <f t="shared" si="93"/>
        <v/>
      </c>
    </row>
    <row r="1189" spans="1:6">
      <c r="A1189" s="60">
        <v>118400</v>
      </c>
      <c r="B1189" s="60">
        <f t="shared" si="91"/>
        <v>3440930</v>
      </c>
      <c r="C1189" s="60">
        <f t="shared" si="94"/>
        <v>3440930</v>
      </c>
      <c r="D1189" s="61">
        <f t="shared" si="90"/>
        <v>1</v>
      </c>
      <c r="E1189" s="64">
        <f t="shared" si="92"/>
        <v>344.0930106817051</v>
      </c>
      <c r="F1189" s="62" t="str">
        <f t="shared" si="93"/>
        <v/>
      </c>
    </row>
    <row r="1190" spans="1:6">
      <c r="A1190" s="60">
        <v>118500</v>
      </c>
      <c r="B1190" s="60">
        <f t="shared" si="91"/>
        <v>3442383</v>
      </c>
      <c r="C1190" s="60">
        <f t="shared" si="94"/>
        <v>3442383</v>
      </c>
      <c r="D1190" s="61">
        <f t="shared" si="90"/>
        <v>1</v>
      </c>
      <c r="E1190" s="64">
        <f t="shared" si="92"/>
        <v>344.23828956117012</v>
      </c>
      <c r="F1190" s="62" t="str">
        <f t="shared" si="93"/>
        <v/>
      </c>
    </row>
    <row r="1191" spans="1:6">
      <c r="A1191" s="60">
        <v>118600</v>
      </c>
      <c r="B1191" s="60">
        <f t="shared" si="91"/>
        <v>3443835</v>
      </c>
      <c r="C1191" s="60">
        <f t="shared" si="94"/>
        <v>3443835</v>
      </c>
      <c r="D1191" s="61">
        <f t="shared" si="90"/>
        <v>1</v>
      </c>
      <c r="E1191" s="64">
        <f t="shared" si="92"/>
        <v>344.38350715445131</v>
      </c>
      <c r="F1191" s="62" t="str">
        <f t="shared" si="93"/>
        <v/>
      </c>
    </row>
    <row r="1192" spans="1:6">
      <c r="A1192" s="60">
        <v>118700</v>
      </c>
      <c r="B1192" s="60">
        <f t="shared" si="91"/>
        <v>3445287</v>
      </c>
      <c r="C1192" s="60">
        <f t="shared" si="94"/>
        <v>3445287</v>
      </c>
      <c r="D1192" s="61">
        <f t="shared" si="90"/>
        <v>1</v>
      </c>
      <c r="E1192" s="64">
        <f t="shared" si="92"/>
        <v>344.52866353904432</v>
      </c>
      <c r="F1192" s="62" t="str">
        <f t="shared" si="93"/>
        <v/>
      </c>
    </row>
    <row r="1193" spans="1:6">
      <c r="A1193" s="60">
        <v>118800</v>
      </c>
      <c r="B1193" s="60">
        <f t="shared" si="91"/>
        <v>3446738</v>
      </c>
      <c r="C1193" s="60">
        <f t="shared" si="94"/>
        <v>3446738</v>
      </c>
      <c r="D1193" s="61">
        <f t="shared" si="90"/>
        <v>1</v>
      </c>
      <c r="E1193" s="64">
        <f t="shared" si="92"/>
        <v>344.67375879228172</v>
      </c>
      <c r="F1193" s="62" t="str">
        <f t="shared" si="93"/>
        <v/>
      </c>
    </row>
    <row r="1194" spans="1:6">
      <c r="A1194" s="60">
        <v>118900</v>
      </c>
      <c r="B1194" s="60">
        <f t="shared" si="91"/>
        <v>3448188</v>
      </c>
      <c r="C1194" s="60">
        <f t="shared" si="94"/>
        <v>3448188</v>
      </c>
      <c r="D1194" s="61">
        <f t="shared" si="90"/>
        <v>1</v>
      </c>
      <c r="E1194" s="64">
        <f t="shared" si="92"/>
        <v>344.81879299133334</v>
      </c>
      <c r="F1194" s="62" t="str">
        <f t="shared" si="93"/>
        <v/>
      </c>
    </row>
    <row r="1195" spans="1:6">
      <c r="A1195" s="60">
        <v>119000</v>
      </c>
      <c r="B1195" s="60">
        <f t="shared" si="91"/>
        <v>3449638</v>
      </c>
      <c r="C1195" s="60">
        <f t="shared" si="94"/>
        <v>3449638</v>
      </c>
      <c r="D1195" s="61">
        <f t="shared" si="90"/>
        <v>1</v>
      </c>
      <c r="E1195" s="64">
        <f t="shared" si="92"/>
        <v>344.96376621320678</v>
      </c>
      <c r="F1195" s="62" t="str">
        <f t="shared" si="93"/>
        <v/>
      </c>
    </row>
    <row r="1196" spans="1:6">
      <c r="A1196" s="60">
        <v>119100</v>
      </c>
      <c r="B1196" s="60">
        <f t="shared" si="91"/>
        <v>3451087</v>
      </c>
      <c r="C1196" s="60">
        <f t="shared" si="94"/>
        <v>3451087</v>
      </c>
      <c r="D1196" s="61">
        <f t="shared" si="90"/>
        <v>1</v>
      </c>
      <c r="E1196" s="64">
        <f t="shared" si="92"/>
        <v>345.10867853474792</v>
      </c>
      <c r="F1196" s="62" t="str">
        <f t="shared" si="93"/>
        <v/>
      </c>
    </row>
    <row r="1197" spans="1:6">
      <c r="A1197" s="60">
        <v>119200</v>
      </c>
      <c r="B1197" s="60">
        <f t="shared" si="91"/>
        <v>3452535</v>
      </c>
      <c r="C1197" s="60">
        <f t="shared" si="94"/>
        <v>3452535</v>
      </c>
      <c r="D1197" s="61">
        <f t="shared" si="90"/>
        <v>1</v>
      </c>
      <c r="E1197" s="64">
        <f t="shared" si="92"/>
        <v>345.25353003264138</v>
      </c>
      <c r="F1197" s="62" t="str">
        <f t="shared" si="93"/>
        <v/>
      </c>
    </row>
    <row r="1198" spans="1:6">
      <c r="A1198" s="60">
        <v>119300</v>
      </c>
      <c r="B1198" s="60">
        <f t="shared" si="91"/>
        <v>3453983</v>
      </c>
      <c r="C1198" s="60">
        <f t="shared" si="94"/>
        <v>3453983</v>
      </c>
      <c r="D1198" s="61">
        <f t="shared" si="90"/>
        <v>1</v>
      </c>
      <c r="E1198" s="64">
        <f t="shared" si="92"/>
        <v>345.3983207834109</v>
      </c>
      <c r="F1198" s="62" t="str">
        <f t="shared" si="93"/>
        <v/>
      </c>
    </row>
    <row r="1199" spans="1:6">
      <c r="A1199" s="60">
        <v>119400</v>
      </c>
      <c r="B1199" s="60">
        <f t="shared" si="91"/>
        <v>3455431</v>
      </c>
      <c r="C1199" s="60">
        <f t="shared" si="94"/>
        <v>3455431</v>
      </c>
      <c r="D1199" s="61">
        <f t="shared" si="90"/>
        <v>1</v>
      </c>
      <c r="E1199" s="64">
        <f t="shared" si="92"/>
        <v>345.54305086341992</v>
      </c>
      <c r="F1199" s="62" t="str">
        <f t="shared" si="93"/>
        <v/>
      </c>
    </row>
    <row r="1200" spans="1:6">
      <c r="A1200" s="60">
        <v>119500</v>
      </c>
      <c r="B1200" s="60">
        <f t="shared" si="91"/>
        <v>3456877</v>
      </c>
      <c r="C1200" s="60">
        <f t="shared" si="94"/>
        <v>3456877</v>
      </c>
      <c r="D1200" s="61">
        <f t="shared" si="90"/>
        <v>1</v>
      </c>
      <c r="E1200" s="64">
        <f t="shared" si="92"/>
        <v>345.68772034887212</v>
      </c>
      <c r="F1200" s="62" t="str">
        <f t="shared" si="93"/>
        <v/>
      </c>
    </row>
    <row r="1201" spans="1:6">
      <c r="A1201" s="60">
        <v>119600</v>
      </c>
      <c r="B1201" s="60">
        <f t="shared" si="91"/>
        <v>3458323</v>
      </c>
      <c r="C1201" s="60">
        <f t="shared" si="94"/>
        <v>3458323</v>
      </c>
      <c r="D1201" s="61">
        <f t="shared" si="90"/>
        <v>1</v>
      </c>
      <c r="E1201" s="64">
        <f t="shared" si="92"/>
        <v>345.83232931581165</v>
      </c>
      <c r="F1201" s="62" t="str">
        <f t="shared" si="93"/>
        <v/>
      </c>
    </row>
    <row r="1202" spans="1:6">
      <c r="A1202" s="60">
        <v>119700</v>
      </c>
      <c r="B1202" s="60">
        <f t="shared" si="91"/>
        <v>3459769</v>
      </c>
      <c r="C1202" s="60">
        <f t="shared" si="94"/>
        <v>3459769</v>
      </c>
      <c r="D1202" s="61">
        <f t="shared" si="90"/>
        <v>1</v>
      </c>
      <c r="E1202" s="64">
        <f t="shared" si="92"/>
        <v>345.9768778401239</v>
      </c>
      <c r="F1202" s="62" t="str">
        <f t="shared" si="93"/>
        <v/>
      </c>
    </row>
    <row r="1203" spans="1:6">
      <c r="A1203" s="60">
        <v>119800</v>
      </c>
      <c r="B1203" s="60">
        <f t="shared" si="91"/>
        <v>3461214</v>
      </c>
      <c r="C1203" s="60">
        <f t="shared" si="94"/>
        <v>3461214</v>
      </c>
      <c r="D1203" s="61">
        <f t="shared" si="90"/>
        <v>1</v>
      </c>
      <c r="E1203" s="64">
        <f t="shared" si="92"/>
        <v>346.12136599753563</v>
      </c>
      <c r="F1203" s="62" t="str">
        <f t="shared" si="93"/>
        <v/>
      </c>
    </row>
    <row r="1204" spans="1:6">
      <c r="A1204" s="60">
        <v>119900</v>
      </c>
      <c r="B1204" s="60">
        <f t="shared" si="91"/>
        <v>3462658</v>
      </c>
      <c r="C1204" s="60">
        <f t="shared" si="94"/>
        <v>3462658</v>
      </c>
      <c r="D1204" s="61">
        <f t="shared" si="90"/>
        <v>1</v>
      </c>
      <c r="E1204" s="64">
        <f t="shared" si="92"/>
        <v>346.26579386361573</v>
      </c>
      <c r="F1204" s="62" t="str">
        <f t="shared" si="93"/>
        <v/>
      </c>
    </row>
    <row r="1205" spans="1:6">
      <c r="A1205" s="60">
        <v>120000</v>
      </c>
      <c r="B1205" s="60">
        <f t="shared" si="91"/>
        <v>3464102</v>
      </c>
      <c r="C1205" s="60">
        <f t="shared" si="94"/>
        <v>3464102</v>
      </c>
      <c r="D1205" s="61">
        <f t="shared" si="90"/>
        <v>1</v>
      </c>
      <c r="E1205" s="64">
        <f t="shared" si="92"/>
        <v>346.41016151377545</v>
      </c>
      <c r="F1205" s="62" t="str">
        <f t="shared" si="93"/>
        <v/>
      </c>
    </row>
    <row r="1206" spans="1:6">
      <c r="A1206" s="60">
        <v>120100</v>
      </c>
      <c r="B1206" s="60">
        <f t="shared" si="91"/>
        <v>3465545</v>
      </c>
      <c r="C1206" s="60">
        <f t="shared" si="94"/>
        <v>3465545</v>
      </c>
      <c r="D1206" s="61">
        <f t="shared" si="90"/>
        <v>1</v>
      </c>
      <c r="E1206" s="64">
        <f t="shared" si="92"/>
        <v>346.55446902326912</v>
      </c>
      <c r="F1206" s="62" t="str">
        <f t="shared" si="93"/>
        <v/>
      </c>
    </row>
    <row r="1207" spans="1:6">
      <c r="A1207" s="60">
        <v>120200</v>
      </c>
      <c r="B1207" s="60">
        <f t="shared" si="91"/>
        <v>3466987</v>
      </c>
      <c r="C1207" s="60">
        <f t="shared" si="94"/>
        <v>3466987</v>
      </c>
      <c r="D1207" s="61">
        <f t="shared" si="90"/>
        <v>1</v>
      </c>
      <c r="E1207" s="64">
        <f t="shared" si="92"/>
        <v>346.69871646719434</v>
      </c>
      <c r="F1207" s="62" t="str">
        <f t="shared" si="93"/>
        <v/>
      </c>
    </row>
    <row r="1208" spans="1:6">
      <c r="A1208" s="60">
        <v>120300</v>
      </c>
      <c r="B1208" s="60">
        <f t="shared" si="91"/>
        <v>3468429</v>
      </c>
      <c r="C1208" s="60">
        <f t="shared" si="94"/>
        <v>3468429</v>
      </c>
      <c r="D1208" s="61">
        <f t="shared" si="90"/>
        <v>1</v>
      </c>
      <c r="E1208" s="64">
        <f t="shared" si="92"/>
        <v>346.84290392049252</v>
      </c>
      <c r="F1208" s="62" t="str">
        <f t="shared" si="93"/>
        <v/>
      </c>
    </row>
    <row r="1209" spans="1:6">
      <c r="A1209" s="60">
        <v>120400</v>
      </c>
      <c r="B1209" s="60">
        <f t="shared" si="91"/>
        <v>3469870</v>
      </c>
      <c r="C1209" s="60">
        <f t="shared" si="94"/>
        <v>3469870</v>
      </c>
      <c r="D1209" s="61">
        <f t="shared" si="90"/>
        <v>1</v>
      </c>
      <c r="E1209" s="64">
        <f t="shared" si="92"/>
        <v>346.98703145794946</v>
      </c>
      <c r="F1209" s="62" t="str">
        <f t="shared" si="93"/>
        <v/>
      </c>
    </row>
    <row r="1210" spans="1:6">
      <c r="A1210" s="60">
        <v>120500</v>
      </c>
      <c r="B1210" s="60">
        <f t="shared" si="91"/>
        <v>3471311</v>
      </c>
      <c r="C1210" s="60">
        <f t="shared" si="94"/>
        <v>3471311</v>
      </c>
      <c r="D1210" s="61">
        <f t="shared" si="90"/>
        <v>1</v>
      </c>
      <c r="E1210" s="64">
        <f t="shared" si="92"/>
        <v>347.13109915419562</v>
      </c>
      <c r="F1210" s="62" t="str">
        <f t="shared" si="93"/>
        <v/>
      </c>
    </row>
    <row r="1211" spans="1:6">
      <c r="A1211" s="60">
        <v>120600</v>
      </c>
      <c r="B1211" s="60">
        <f t="shared" si="91"/>
        <v>3472751</v>
      </c>
      <c r="C1211" s="60">
        <f t="shared" si="94"/>
        <v>3472751</v>
      </c>
      <c r="D1211" s="61">
        <f t="shared" si="90"/>
        <v>1</v>
      </c>
      <c r="E1211" s="64">
        <f t="shared" si="92"/>
        <v>347.27510708370676</v>
      </c>
      <c r="F1211" s="62" t="str">
        <f t="shared" si="93"/>
        <v/>
      </c>
    </row>
    <row r="1212" spans="1:6">
      <c r="A1212" s="60">
        <v>120700</v>
      </c>
      <c r="B1212" s="60">
        <f t="shared" si="91"/>
        <v>3474191</v>
      </c>
      <c r="C1212" s="60">
        <f t="shared" si="94"/>
        <v>3474191</v>
      </c>
      <c r="D1212" s="61">
        <f t="shared" si="90"/>
        <v>1</v>
      </c>
      <c r="E1212" s="64">
        <f t="shared" si="92"/>
        <v>347.4190553208042</v>
      </c>
      <c r="F1212" s="62" t="str">
        <f t="shared" si="93"/>
        <v/>
      </c>
    </row>
    <row r="1213" spans="1:6">
      <c r="A1213" s="60">
        <v>120800</v>
      </c>
      <c r="B1213" s="60">
        <f t="shared" si="91"/>
        <v>3475629</v>
      </c>
      <c r="C1213" s="60">
        <f t="shared" si="94"/>
        <v>3475629</v>
      </c>
      <c r="D1213" s="61">
        <f t="shared" si="90"/>
        <v>1</v>
      </c>
      <c r="E1213" s="64">
        <f t="shared" si="92"/>
        <v>347.56294393965533</v>
      </c>
      <c r="F1213" s="62" t="str">
        <f t="shared" si="93"/>
        <v/>
      </c>
    </row>
    <row r="1214" spans="1:6">
      <c r="A1214" s="60">
        <v>120900</v>
      </c>
      <c r="B1214" s="60">
        <f t="shared" si="91"/>
        <v>3477068</v>
      </c>
      <c r="C1214" s="60">
        <f t="shared" si="94"/>
        <v>3477068</v>
      </c>
      <c r="D1214" s="61">
        <f t="shared" si="90"/>
        <v>1</v>
      </c>
      <c r="E1214" s="64">
        <f t="shared" si="92"/>
        <v>347.70677301427418</v>
      </c>
      <c r="F1214" s="62" t="str">
        <f t="shared" si="93"/>
        <v/>
      </c>
    </row>
    <row r="1215" spans="1:6">
      <c r="A1215" s="60">
        <v>121000</v>
      </c>
      <c r="B1215" s="60">
        <f t="shared" si="91"/>
        <v>3478505</v>
      </c>
      <c r="C1215" s="60">
        <f t="shared" si="94"/>
        <v>3478505</v>
      </c>
      <c r="D1215" s="61">
        <f t="shared" si="90"/>
        <v>1</v>
      </c>
      <c r="E1215" s="64">
        <f t="shared" si="92"/>
        <v>347.85054261852173</v>
      </c>
      <c r="F1215" s="62" t="str">
        <f t="shared" si="93"/>
        <v/>
      </c>
    </row>
    <row r="1216" spans="1:6">
      <c r="A1216" s="60">
        <v>121100</v>
      </c>
      <c r="B1216" s="60">
        <f t="shared" si="91"/>
        <v>3479943</v>
      </c>
      <c r="C1216" s="60">
        <f t="shared" si="94"/>
        <v>3479943</v>
      </c>
      <c r="D1216" s="61">
        <f t="shared" si="90"/>
        <v>1</v>
      </c>
      <c r="E1216" s="64">
        <f t="shared" si="92"/>
        <v>347.99425282610633</v>
      </c>
      <c r="F1216" s="62" t="str">
        <f t="shared" si="93"/>
        <v/>
      </c>
    </row>
    <row r="1217" spans="1:6">
      <c r="A1217" s="60">
        <v>121200</v>
      </c>
      <c r="B1217" s="60">
        <f t="shared" si="91"/>
        <v>3481379</v>
      </c>
      <c r="C1217" s="60">
        <f t="shared" si="94"/>
        <v>3481379</v>
      </c>
      <c r="D1217" s="61">
        <f t="shared" si="90"/>
        <v>1</v>
      </c>
      <c r="E1217" s="64">
        <f t="shared" si="92"/>
        <v>348.13790371058423</v>
      </c>
      <c r="F1217" s="62" t="str">
        <f t="shared" si="93"/>
        <v/>
      </c>
    </row>
    <row r="1218" spans="1:6">
      <c r="A1218" s="60">
        <v>121300</v>
      </c>
      <c r="B1218" s="60">
        <f t="shared" si="91"/>
        <v>3482815</v>
      </c>
      <c r="C1218" s="60">
        <f t="shared" si="94"/>
        <v>3482815</v>
      </c>
      <c r="D1218" s="61">
        <f t="shared" si="90"/>
        <v>1</v>
      </c>
      <c r="E1218" s="64">
        <f t="shared" si="92"/>
        <v>348.28149534535999</v>
      </c>
      <c r="F1218" s="62" t="str">
        <f t="shared" si="93"/>
        <v/>
      </c>
    </row>
    <row r="1219" spans="1:6">
      <c r="A1219" s="60">
        <v>121400</v>
      </c>
      <c r="B1219" s="60">
        <f t="shared" si="91"/>
        <v>3484250</v>
      </c>
      <c r="C1219" s="60">
        <f t="shared" si="94"/>
        <v>3484250</v>
      </c>
      <c r="D1219" s="61">
        <f t="shared" si="90"/>
        <v>1</v>
      </c>
      <c r="E1219" s="64">
        <f t="shared" si="92"/>
        <v>348.42502780368693</v>
      </c>
      <c r="F1219" s="62" t="str">
        <f t="shared" si="93"/>
        <v/>
      </c>
    </row>
    <row r="1220" spans="1:6">
      <c r="A1220" s="60">
        <v>121500</v>
      </c>
      <c r="B1220" s="60">
        <f t="shared" si="91"/>
        <v>3485685</v>
      </c>
      <c r="C1220" s="60">
        <f t="shared" si="94"/>
        <v>3485685</v>
      </c>
      <c r="D1220" s="61">
        <f t="shared" si="90"/>
        <v>1</v>
      </c>
      <c r="E1220" s="64">
        <f t="shared" si="92"/>
        <v>348.56850115866752</v>
      </c>
      <c r="F1220" s="62" t="str">
        <f t="shared" si="93"/>
        <v/>
      </c>
    </row>
    <row r="1221" spans="1:6">
      <c r="A1221" s="60">
        <v>121600</v>
      </c>
      <c r="B1221" s="60">
        <f t="shared" si="91"/>
        <v>3487119</v>
      </c>
      <c r="C1221" s="60">
        <f t="shared" si="94"/>
        <v>3487119</v>
      </c>
      <c r="D1221" s="61">
        <f t="shared" ref="D1221:D1284" si="95">(A1221-INDEX(兵力区间,MATCH(A1221,兵力区间,1)))/(INDEX(兵力区间,MATCH(A1221,兵力区间,1)+1)-INDEX(兵力区间,MATCH(A1221,兵力区间,1)))*((INDEX(兵力调节,MATCH(A1221,兵力区间,1)+1,2)-INDEX(兵力调节,MATCH(A1221,兵力区间,1),2)))+INDEX(兵力调节,MATCH(A1221,兵力区间,1),2)</f>
        <v>1</v>
      </c>
      <c r="E1221" s="64">
        <f t="shared" si="92"/>
        <v>348.7119154832539</v>
      </c>
      <c r="F1221" s="62" t="str">
        <f t="shared" si="93"/>
        <v/>
      </c>
    </row>
    <row r="1222" spans="1:6">
      <c r="A1222" s="60">
        <v>121700</v>
      </c>
      <c r="B1222" s="60">
        <f t="shared" si="91"/>
        <v>3488553</v>
      </c>
      <c r="C1222" s="60">
        <f t="shared" si="94"/>
        <v>3488553</v>
      </c>
      <c r="D1222" s="61">
        <f t="shared" si="95"/>
        <v>1</v>
      </c>
      <c r="E1222" s="64">
        <f t="shared" si="92"/>
        <v>348.85527085024813</v>
      </c>
      <c r="F1222" s="62" t="str">
        <f t="shared" si="93"/>
        <v/>
      </c>
    </row>
    <row r="1223" spans="1:6">
      <c r="A1223" s="60">
        <v>121800</v>
      </c>
      <c r="B1223" s="60">
        <f t="shared" ref="B1223:B1286" si="96">ROUND(D1223*E1223*10000,0)</f>
        <v>3489986</v>
      </c>
      <c r="C1223" s="60">
        <f t="shared" si="94"/>
        <v>3489986</v>
      </c>
      <c r="D1223" s="61">
        <f t="shared" si="95"/>
        <v>1</v>
      </c>
      <c r="E1223" s="64">
        <f t="shared" ref="E1223:E1286" si="97">A1223^0.5</f>
        <v>348.99856733230297</v>
      </c>
      <c r="F1223" s="62" t="str">
        <f t="shared" si="93"/>
        <v/>
      </c>
    </row>
    <row r="1224" spans="1:6">
      <c r="A1224" s="60">
        <v>121900</v>
      </c>
      <c r="B1224" s="60">
        <f t="shared" si="96"/>
        <v>3491418</v>
      </c>
      <c r="C1224" s="60">
        <f t="shared" si="94"/>
        <v>3491418</v>
      </c>
      <c r="D1224" s="61">
        <f t="shared" si="95"/>
        <v>1</v>
      </c>
      <c r="E1224" s="64">
        <f t="shared" si="97"/>
        <v>349.1418050019218</v>
      </c>
      <c r="F1224" s="62" t="str">
        <f t="shared" ref="F1224:F1287" si="98">IF(B1224&lt;B1223,1,"")</f>
        <v/>
      </c>
    </row>
    <row r="1225" spans="1:6">
      <c r="A1225" s="60">
        <v>122000</v>
      </c>
      <c r="B1225" s="60">
        <f t="shared" si="96"/>
        <v>3492850</v>
      </c>
      <c r="C1225" s="60">
        <f t="shared" si="94"/>
        <v>3492850</v>
      </c>
      <c r="D1225" s="61">
        <f t="shared" si="95"/>
        <v>1</v>
      </c>
      <c r="E1225" s="64">
        <f t="shared" si="97"/>
        <v>349.28498393145964</v>
      </c>
      <c r="F1225" s="62" t="str">
        <f t="shared" si="98"/>
        <v/>
      </c>
    </row>
    <row r="1226" spans="1:6">
      <c r="A1226" s="60">
        <v>122100</v>
      </c>
      <c r="B1226" s="60">
        <f t="shared" si="96"/>
        <v>3494281</v>
      </c>
      <c r="C1226" s="60">
        <f t="shared" si="94"/>
        <v>3494281</v>
      </c>
      <c r="D1226" s="61">
        <f t="shared" si="95"/>
        <v>1</v>
      </c>
      <c r="E1226" s="64">
        <f t="shared" si="97"/>
        <v>349.42810419312298</v>
      </c>
      <c r="F1226" s="62" t="str">
        <f t="shared" si="98"/>
        <v/>
      </c>
    </row>
    <row r="1227" spans="1:6">
      <c r="A1227" s="60">
        <v>122200</v>
      </c>
      <c r="B1227" s="60">
        <f t="shared" si="96"/>
        <v>3495712</v>
      </c>
      <c r="C1227" s="60">
        <f t="shared" ref="C1227:C1290" si="99">ROUND(D1227*E1227*10000,0)</f>
        <v>3495712</v>
      </c>
      <c r="D1227" s="61">
        <f t="shared" si="95"/>
        <v>1</v>
      </c>
      <c r="E1227" s="64">
        <f t="shared" si="97"/>
        <v>349.57116585897069</v>
      </c>
      <c r="F1227" s="62" t="str">
        <f t="shared" si="98"/>
        <v/>
      </c>
    </row>
    <row r="1228" spans="1:6">
      <c r="A1228" s="60">
        <v>122300</v>
      </c>
      <c r="B1228" s="60">
        <f t="shared" si="96"/>
        <v>3497142</v>
      </c>
      <c r="C1228" s="60">
        <f t="shared" si="99"/>
        <v>3497142</v>
      </c>
      <c r="D1228" s="61">
        <f t="shared" si="95"/>
        <v>1</v>
      </c>
      <c r="E1228" s="64">
        <f t="shared" si="97"/>
        <v>349.71416900091424</v>
      </c>
      <c r="F1228" s="62" t="str">
        <f t="shared" si="98"/>
        <v/>
      </c>
    </row>
    <row r="1229" spans="1:6">
      <c r="A1229" s="60">
        <v>122400</v>
      </c>
      <c r="B1229" s="60">
        <f t="shared" si="96"/>
        <v>3498571</v>
      </c>
      <c r="C1229" s="60">
        <f t="shared" si="99"/>
        <v>3498571</v>
      </c>
      <c r="D1229" s="61">
        <f t="shared" si="95"/>
        <v>1</v>
      </c>
      <c r="E1229" s="64">
        <f t="shared" si="97"/>
        <v>349.85711369071805</v>
      </c>
      <c r="F1229" s="62" t="str">
        <f t="shared" si="98"/>
        <v/>
      </c>
    </row>
    <row r="1230" spans="1:6">
      <c r="A1230" s="60">
        <v>122500</v>
      </c>
      <c r="B1230" s="60">
        <f t="shared" si="96"/>
        <v>3500000</v>
      </c>
      <c r="C1230" s="60">
        <f t="shared" si="99"/>
        <v>3500000</v>
      </c>
      <c r="D1230" s="61">
        <f t="shared" si="95"/>
        <v>1</v>
      </c>
      <c r="E1230" s="64">
        <f t="shared" si="97"/>
        <v>350</v>
      </c>
      <c r="F1230" s="62" t="str">
        <f t="shared" si="98"/>
        <v/>
      </c>
    </row>
    <row r="1231" spans="1:6">
      <c r="A1231" s="60">
        <v>122600</v>
      </c>
      <c r="B1231" s="60">
        <f t="shared" si="96"/>
        <v>3501428</v>
      </c>
      <c r="C1231" s="60">
        <f t="shared" si="99"/>
        <v>3501428</v>
      </c>
      <c r="D1231" s="61">
        <f t="shared" si="95"/>
        <v>1</v>
      </c>
      <c r="E1231" s="64">
        <f t="shared" si="97"/>
        <v>350.14282800023193</v>
      </c>
      <c r="F1231" s="62" t="str">
        <f t="shared" si="98"/>
        <v/>
      </c>
    </row>
    <row r="1232" spans="1:6">
      <c r="A1232" s="60">
        <v>122700</v>
      </c>
      <c r="B1232" s="60">
        <f t="shared" si="96"/>
        <v>3502856</v>
      </c>
      <c r="C1232" s="60">
        <f t="shared" si="99"/>
        <v>3502856</v>
      </c>
      <c r="D1232" s="61">
        <f t="shared" si="95"/>
        <v>1</v>
      </c>
      <c r="E1232" s="64">
        <f t="shared" si="97"/>
        <v>350.28559776273988</v>
      </c>
      <c r="F1232" s="62" t="str">
        <f t="shared" si="98"/>
        <v/>
      </c>
    </row>
    <row r="1233" spans="1:6">
      <c r="A1233" s="60">
        <v>122800</v>
      </c>
      <c r="B1233" s="60">
        <f t="shared" si="96"/>
        <v>3504283</v>
      </c>
      <c r="C1233" s="60">
        <f t="shared" si="99"/>
        <v>3504283</v>
      </c>
      <c r="D1233" s="61">
        <f t="shared" si="95"/>
        <v>1</v>
      </c>
      <c r="E1233" s="64">
        <f t="shared" si="97"/>
        <v>350.42830935870461</v>
      </c>
      <c r="F1233" s="62" t="str">
        <f t="shared" si="98"/>
        <v/>
      </c>
    </row>
    <row r="1234" spans="1:6">
      <c r="A1234" s="60">
        <v>122900</v>
      </c>
      <c r="B1234" s="60">
        <f t="shared" si="96"/>
        <v>3505710</v>
      </c>
      <c r="C1234" s="60">
        <f t="shared" si="99"/>
        <v>3505710</v>
      </c>
      <c r="D1234" s="61">
        <f t="shared" si="95"/>
        <v>1</v>
      </c>
      <c r="E1234" s="64">
        <f t="shared" si="97"/>
        <v>350.57096285916208</v>
      </c>
      <c r="F1234" s="62" t="str">
        <f t="shared" si="98"/>
        <v/>
      </c>
    </row>
    <row r="1235" spans="1:6">
      <c r="A1235" s="60">
        <v>123000</v>
      </c>
      <c r="B1235" s="60">
        <f t="shared" si="96"/>
        <v>3507136</v>
      </c>
      <c r="C1235" s="60">
        <f t="shared" si="99"/>
        <v>3507136</v>
      </c>
      <c r="D1235" s="61">
        <f t="shared" si="95"/>
        <v>1</v>
      </c>
      <c r="E1235" s="64">
        <f t="shared" si="97"/>
        <v>350.71355833500365</v>
      </c>
      <c r="F1235" s="62" t="str">
        <f t="shared" si="98"/>
        <v/>
      </c>
    </row>
    <row r="1236" spans="1:6">
      <c r="A1236" s="60">
        <v>123100</v>
      </c>
      <c r="B1236" s="60">
        <f t="shared" si="96"/>
        <v>3508561</v>
      </c>
      <c r="C1236" s="60">
        <f t="shared" si="99"/>
        <v>3508561</v>
      </c>
      <c r="D1236" s="61">
        <f t="shared" si="95"/>
        <v>1</v>
      </c>
      <c r="E1236" s="64">
        <f t="shared" si="97"/>
        <v>350.85609585697665</v>
      </c>
      <c r="F1236" s="62" t="str">
        <f t="shared" si="98"/>
        <v/>
      </c>
    </row>
    <row r="1237" spans="1:6">
      <c r="A1237" s="60">
        <v>123200</v>
      </c>
      <c r="B1237" s="60">
        <f t="shared" si="96"/>
        <v>3509986</v>
      </c>
      <c r="C1237" s="60">
        <f t="shared" si="99"/>
        <v>3509986</v>
      </c>
      <c r="D1237" s="61">
        <f t="shared" si="95"/>
        <v>1</v>
      </c>
      <c r="E1237" s="64">
        <f t="shared" si="97"/>
        <v>350.99857549568486</v>
      </c>
      <c r="F1237" s="62" t="str">
        <f t="shared" si="98"/>
        <v/>
      </c>
    </row>
    <row r="1238" spans="1:6">
      <c r="A1238" s="60">
        <v>123300</v>
      </c>
      <c r="B1238" s="60">
        <f t="shared" si="96"/>
        <v>3511410</v>
      </c>
      <c r="C1238" s="60">
        <f t="shared" si="99"/>
        <v>3511410</v>
      </c>
      <c r="D1238" s="61">
        <f t="shared" si="95"/>
        <v>1</v>
      </c>
      <c r="E1238" s="64">
        <f t="shared" si="97"/>
        <v>351.14099732158877</v>
      </c>
      <c r="F1238" s="62" t="str">
        <f t="shared" si="98"/>
        <v/>
      </c>
    </row>
    <row r="1239" spans="1:6">
      <c r="A1239" s="60">
        <v>123400</v>
      </c>
      <c r="B1239" s="60">
        <f t="shared" si="96"/>
        <v>3512834</v>
      </c>
      <c r="C1239" s="60">
        <f t="shared" si="99"/>
        <v>3512834</v>
      </c>
      <c r="D1239" s="61">
        <f t="shared" si="95"/>
        <v>1</v>
      </c>
      <c r="E1239" s="64">
        <f t="shared" si="97"/>
        <v>351.28336140500591</v>
      </c>
      <c r="F1239" s="62" t="str">
        <f t="shared" si="98"/>
        <v/>
      </c>
    </row>
    <row r="1240" spans="1:6">
      <c r="A1240" s="60">
        <v>123500</v>
      </c>
      <c r="B1240" s="60">
        <f t="shared" si="96"/>
        <v>3514257</v>
      </c>
      <c r="C1240" s="60">
        <f t="shared" si="99"/>
        <v>3514257</v>
      </c>
      <c r="D1240" s="61">
        <f t="shared" si="95"/>
        <v>1</v>
      </c>
      <c r="E1240" s="64">
        <f t="shared" si="97"/>
        <v>351.42566781611157</v>
      </c>
      <c r="F1240" s="62" t="str">
        <f t="shared" si="98"/>
        <v/>
      </c>
    </row>
    <row r="1241" spans="1:6">
      <c r="A1241" s="60">
        <v>123600</v>
      </c>
      <c r="B1241" s="60">
        <f t="shared" si="96"/>
        <v>3515679</v>
      </c>
      <c r="C1241" s="60">
        <f t="shared" si="99"/>
        <v>3515679</v>
      </c>
      <c r="D1241" s="61">
        <f t="shared" si="95"/>
        <v>1</v>
      </c>
      <c r="E1241" s="64">
        <f t="shared" si="97"/>
        <v>351.5679166249389</v>
      </c>
      <c r="F1241" s="62" t="str">
        <f t="shared" si="98"/>
        <v/>
      </c>
    </row>
    <row r="1242" spans="1:6">
      <c r="A1242" s="60">
        <v>123700</v>
      </c>
      <c r="B1242" s="60">
        <f t="shared" si="96"/>
        <v>3517101</v>
      </c>
      <c r="C1242" s="60">
        <f t="shared" si="99"/>
        <v>3517101</v>
      </c>
      <c r="D1242" s="61">
        <f t="shared" si="95"/>
        <v>1</v>
      </c>
      <c r="E1242" s="64">
        <f t="shared" si="97"/>
        <v>351.7101079013795</v>
      </c>
      <c r="F1242" s="62" t="str">
        <f t="shared" si="98"/>
        <v/>
      </c>
    </row>
    <row r="1243" spans="1:6">
      <c r="A1243" s="60">
        <v>123800</v>
      </c>
      <c r="B1243" s="60">
        <f t="shared" si="96"/>
        <v>3518522</v>
      </c>
      <c r="C1243" s="60">
        <f t="shared" si="99"/>
        <v>3518522</v>
      </c>
      <c r="D1243" s="61">
        <f t="shared" si="95"/>
        <v>1</v>
      </c>
      <c r="E1243" s="64">
        <f t="shared" si="97"/>
        <v>351.8522417151836</v>
      </c>
      <c r="F1243" s="62" t="str">
        <f t="shared" si="98"/>
        <v/>
      </c>
    </row>
    <row r="1244" spans="1:6">
      <c r="A1244" s="60">
        <v>123900</v>
      </c>
      <c r="B1244" s="60">
        <f t="shared" si="96"/>
        <v>3519943</v>
      </c>
      <c r="C1244" s="60">
        <f t="shared" si="99"/>
        <v>3519943</v>
      </c>
      <c r="D1244" s="61">
        <f t="shared" si="95"/>
        <v>1</v>
      </c>
      <c r="E1244" s="64">
        <f t="shared" si="97"/>
        <v>351.99431813596084</v>
      </c>
      <c r="F1244" s="62" t="str">
        <f t="shared" si="98"/>
        <v/>
      </c>
    </row>
    <row r="1245" spans="1:6">
      <c r="A1245" s="60">
        <v>124000</v>
      </c>
      <c r="B1245" s="60">
        <f t="shared" si="96"/>
        <v>3521363</v>
      </c>
      <c r="C1245" s="60">
        <f t="shared" si="99"/>
        <v>3521363</v>
      </c>
      <c r="D1245" s="61">
        <f t="shared" si="95"/>
        <v>1</v>
      </c>
      <c r="E1245" s="64">
        <f t="shared" si="97"/>
        <v>352.1363372331802</v>
      </c>
      <c r="F1245" s="62" t="str">
        <f t="shared" si="98"/>
        <v/>
      </c>
    </row>
    <row r="1246" spans="1:6">
      <c r="A1246" s="60">
        <v>124100</v>
      </c>
      <c r="B1246" s="60">
        <f t="shared" si="96"/>
        <v>3522783</v>
      </c>
      <c r="C1246" s="60">
        <f t="shared" si="99"/>
        <v>3522783</v>
      </c>
      <c r="D1246" s="61">
        <f t="shared" si="95"/>
        <v>1</v>
      </c>
      <c r="E1246" s="64">
        <f t="shared" si="97"/>
        <v>352.27829907617075</v>
      </c>
      <c r="F1246" s="62" t="str">
        <f t="shared" si="98"/>
        <v/>
      </c>
    </row>
    <row r="1247" spans="1:6">
      <c r="A1247" s="60">
        <v>124200</v>
      </c>
      <c r="B1247" s="60">
        <f t="shared" si="96"/>
        <v>3524202</v>
      </c>
      <c r="C1247" s="60">
        <f t="shared" si="99"/>
        <v>3524202</v>
      </c>
      <c r="D1247" s="61">
        <f t="shared" si="95"/>
        <v>1</v>
      </c>
      <c r="E1247" s="64">
        <f t="shared" si="97"/>
        <v>352.42020373412191</v>
      </c>
      <c r="F1247" s="62" t="str">
        <f t="shared" si="98"/>
        <v/>
      </c>
    </row>
    <row r="1248" spans="1:6">
      <c r="A1248" s="60">
        <v>124300</v>
      </c>
      <c r="B1248" s="60">
        <f t="shared" si="96"/>
        <v>3525621</v>
      </c>
      <c r="C1248" s="60">
        <f t="shared" si="99"/>
        <v>3525621</v>
      </c>
      <c r="D1248" s="61">
        <f t="shared" si="95"/>
        <v>1</v>
      </c>
      <c r="E1248" s="64">
        <f t="shared" si="97"/>
        <v>352.56205127608388</v>
      </c>
      <c r="F1248" s="62" t="str">
        <f t="shared" si="98"/>
        <v/>
      </c>
    </row>
    <row r="1249" spans="1:6">
      <c r="A1249" s="60">
        <v>124400</v>
      </c>
      <c r="B1249" s="60">
        <f t="shared" si="96"/>
        <v>3527038</v>
      </c>
      <c r="C1249" s="60">
        <f t="shared" si="99"/>
        <v>3527038</v>
      </c>
      <c r="D1249" s="61">
        <f t="shared" si="95"/>
        <v>1</v>
      </c>
      <c r="E1249" s="64">
        <f t="shared" si="97"/>
        <v>352.70384177096798</v>
      </c>
      <c r="F1249" s="62" t="str">
        <f t="shared" si="98"/>
        <v/>
      </c>
    </row>
    <row r="1250" spans="1:6">
      <c r="A1250" s="60">
        <v>124500</v>
      </c>
      <c r="B1250" s="60">
        <f t="shared" si="96"/>
        <v>3528456</v>
      </c>
      <c r="C1250" s="60">
        <f t="shared" si="99"/>
        <v>3528456</v>
      </c>
      <c r="D1250" s="61">
        <f t="shared" si="95"/>
        <v>1</v>
      </c>
      <c r="E1250" s="64">
        <f t="shared" si="97"/>
        <v>352.84557528754698</v>
      </c>
      <c r="F1250" s="62" t="str">
        <f t="shared" si="98"/>
        <v/>
      </c>
    </row>
    <row r="1251" spans="1:6">
      <c r="A1251" s="60">
        <v>124600</v>
      </c>
      <c r="B1251" s="60">
        <f t="shared" si="96"/>
        <v>3529873</v>
      </c>
      <c r="C1251" s="60">
        <f t="shared" si="99"/>
        <v>3529873</v>
      </c>
      <c r="D1251" s="61">
        <f t="shared" si="95"/>
        <v>1</v>
      </c>
      <c r="E1251" s="64">
        <f t="shared" si="97"/>
        <v>352.98725189445582</v>
      </c>
      <c r="F1251" s="62" t="str">
        <f t="shared" si="98"/>
        <v/>
      </c>
    </row>
    <row r="1252" spans="1:6">
      <c r="A1252" s="60">
        <v>124700</v>
      </c>
      <c r="B1252" s="60">
        <f t="shared" si="96"/>
        <v>3531289</v>
      </c>
      <c r="C1252" s="60">
        <f t="shared" si="99"/>
        <v>3531289</v>
      </c>
      <c r="D1252" s="61">
        <f t="shared" si="95"/>
        <v>1</v>
      </c>
      <c r="E1252" s="64">
        <f t="shared" si="97"/>
        <v>353.12887166019152</v>
      </c>
      <c r="F1252" s="62" t="str">
        <f t="shared" si="98"/>
        <v/>
      </c>
    </row>
    <row r="1253" spans="1:6">
      <c r="A1253" s="60">
        <v>124800</v>
      </c>
      <c r="B1253" s="60">
        <f t="shared" si="96"/>
        <v>3532704</v>
      </c>
      <c r="C1253" s="60">
        <f t="shared" si="99"/>
        <v>3532704</v>
      </c>
      <c r="D1253" s="61">
        <f t="shared" si="95"/>
        <v>1</v>
      </c>
      <c r="E1253" s="64">
        <f t="shared" si="97"/>
        <v>353.27043465311385</v>
      </c>
      <c r="F1253" s="62" t="str">
        <f t="shared" si="98"/>
        <v/>
      </c>
    </row>
    <row r="1254" spans="1:6">
      <c r="A1254" s="60">
        <v>124900</v>
      </c>
      <c r="B1254" s="60">
        <f t="shared" si="96"/>
        <v>3534119</v>
      </c>
      <c r="C1254" s="60">
        <f t="shared" si="99"/>
        <v>3534119</v>
      </c>
      <c r="D1254" s="61">
        <f t="shared" si="95"/>
        <v>1</v>
      </c>
      <c r="E1254" s="64">
        <f t="shared" si="97"/>
        <v>353.41194094144583</v>
      </c>
      <c r="F1254" s="62" t="str">
        <f t="shared" si="98"/>
        <v/>
      </c>
    </row>
    <row r="1255" spans="1:6">
      <c r="A1255" s="60">
        <v>125000</v>
      </c>
      <c r="B1255" s="60">
        <f t="shared" si="96"/>
        <v>3535534</v>
      </c>
      <c r="C1255" s="60">
        <f t="shared" si="99"/>
        <v>3535534</v>
      </c>
      <c r="D1255" s="61">
        <f t="shared" si="95"/>
        <v>1</v>
      </c>
      <c r="E1255" s="64">
        <f t="shared" si="97"/>
        <v>353.55339059327378</v>
      </c>
      <c r="F1255" s="62" t="str">
        <f t="shared" si="98"/>
        <v/>
      </c>
    </row>
    <row r="1256" spans="1:6">
      <c r="A1256" s="60">
        <v>125100</v>
      </c>
      <c r="B1256" s="60">
        <f t="shared" si="96"/>
        <v>3536948</v>
      </c>
      <c r="C1256" s="60">
        <f t="shared" si="99"/>
        <v>3536948</v>
      </c>
      <c r="D1256" s="61">
        <f t="shared" si="95"/>
        <v>1</v>
      </c>
      <c r="E1256" s="64">
        <f t="shared" si="97"/>
        <v>353.6947836765479</v>
      </c>
      <c r="F1256" s="62" t="str">
        <f t="shared" si="98"/>
        <v/>
      </c>
    </row>
    <row r="1257" spans="1:6">
      <c r="A1257" s="60">
        <v>125200</v>
      </c>
      <c r="B1257" s="60">
        <f t="shared" si="96"/>
        <v>3538361</v>
      </c>
      <c r="C1257" s="60">
        <f t="shared" si="99"/>
        <v>3538361</v>
      </c>
      <c r="D1257" s="61">
        <f t="shared" si="95"/>
        <v>1</v>
      </c>
      <c r="E1257" s="64">
        <f t="shared" si="97"/>
        <v>353.83612025908263</v>
      </c>
      <c r="F1257" s="62" t="str">
        <f t="shared" si="98"/>
        <v/>
      </c>
    </row>
    <row r="1258" spans="1:6">
      <c r="A1258" s="60">
        <v>125300</v>
      </c>
      <c r="B1258" s="60">
        <f t="shared" si="96"/>
        <v>3539774</v>
      </c>
      <c r="C1258" s="60">
        <f t="shared" si="99"/>
        <v>3539774</v>
      </c>
      <c r="D1258" s="61">
        <f t="shared" si="95"/>
        <v>1</v>
      </c>
      <c r="E1258" s="64">
        <f t="shared" si="97"/>
        <v>353.97740040855717</v>
      </c>
      <c r="F1258" s="62" t="str">
        <f t="shared" si="98"/>
        <v/>
      </c>
    </row>
    <row r="1259" spans="1:6">
      <c r="A1259" s="60">
        <v>125400</v>
      </c>
      <c r="B1259" s="60">
        <f t="shared" si="96"/>
        <v>3541186</v>
      </c>
      <c r="C1259" s="60">
        <f t="shared" si="99"/>
        <v>3541186</v>
      </c>
      <c r="D1259" s="61">
        <f t="shared" si="95"/>
        <v>1</v>
      </c>
      <c r="E1259" s="64">
        <f t="shared" si="97"/>
        <v>354.11862419251548</v>
      </c>
      <c r="F1259" s="62" t="str">
        <f t="shared" si="98"/>
        <v/>
      </c>
    </row>
    <row r="1260" spans="1:6">
      <c r="A1260" s="60">
        <v>125500</v>
      </c>
      <c r="B1260" s="60">
        <f t="shared" si="96"/>
        <v>3542598</v>
      </c>
      <c r="C1260" s="60">
        <f t="shared" si="99"/>
        <v>3542598</v>
      </c>
      <c r="D1260" s="61">
        <f t="shared" si="95"/>
        <v>1</v>
      </c>
      <c r="E1260" s="64">
        <f t="shared" si="97"/>
        <v>354.25979167836704</v>
      </c>
      <c r="F1260" s="62" t="str">
        <f t="shared" si="98"/>
        <v/>
      </c>
    </row>
    <row r="1261" spans="1:6">
      <c r="A1261" s="60">
        <v>125600</v>
      </c>
      <c r="B1261" s="60">
        <f t="shared" si="96"/>
        <v>3544009</v>
      </c>
      <c r="C1261" s="60">
        <f t="shared" si="99"/>
        <v>3544009</v>
      </c>
      <c r="D1261" s="61">
        <f t="shared" si="95"/>
        <v>1</v>
      </c>
      <c r="E1261" s="64">
        <f t="shared" si="97"/>
        <v>354.40090293338699</v>
      </c>
      <c r="F1261" s="62" t="str">
        <f t="shared" si="98"/>
        <v/>
      </c>
    </row>
    <row r="1262" spans="1:6">
      <c r="A1262" s="60">
        <v>125700</v>
      </c>
      <c r="B1262" s="60">
        <f t="shared" si="96"/>
        <v>3545420</v>
      </c>
      <c r="C1262" s="60">
        <f t="shared" si="99"/>
        <v>3545420</v>
      </c>
      <c r="D1262" s="61">
        <f t="shared" si="95"/>
        <v>1</v>
      </c>
      <c r="E1262" s="64">
        <f t="shared" si="97"/>
        <v>354.54195802471673</v>
      </c>
      <c r="F1262" s="62" t="str">
        <f t="shared" si="98"/>
        <v/>
      </c>
    </row>
    <row r="1263" spans="1:6">
      <c r="A1263" s="60">
        <v>125800</v>
      </c>
      <c r="B1263" s="60">
        <f t="shared" si="96"/>
        <v>3546830</v>
      </c>
      <c r="C1263" s="60">
        <f t="shared" si="99"/>
        <v>3546830</v>
      </c>
      <c r="D1263" s="61">
        <f t="shared" si="95"/>
        <v>1</v>
      </c>
      <c r="E1263" s="64">
        <f t="shared" si="97"/>
        <v>354.68295701936398</v>
      </c>
      <c r="F1263" s="62" t="str">
        <f t="shared" si="98"/>
        <v/>
      </c>
    </row>
    <row r="1264" spans="1:6">
      <c r="A1264" s="60">
        <v>125900</v>
      </c>
      <c r="B1264" s="60">
        <f t="shared" si="96"/>
        <v>3548239</v>
      </c>
      <c r="C1264" s="60">
        <f t="shared" si="99"/>
        <v>3548239</v>
      </c>
      <c r="D1264" s="61">
        <f t="shared" si="95"/>
        <v>1</v>
      </c>
      <c r="E1264" s="64">
        <f t="shared" si="97"/>
        <v>354.82389998420342</v>
      </c>
      <c r="F1264" s="62" t="str">
        <f t="shared" si="98"/>
        <v/>
      </c>
    </row>
    <row r="1265" spans="1:6">
      <c r="A1265" s="60">
        <v>126000</v>
      </c>
      <c r="B1265" s="60">
        <f t="shared" si="96"/>
        <v>3549648</v>
      </c>
      <c r="C1265" s="60">
        <f t="shared" si="99"/>
        <v>3549648</v>
      </c>
      <c r="D1265" s="61">
        <f t="shared" si="95"/>
        <v>1</v>
      </c>
      <c r="E1265" s="64">
        <f t="shared" si="97"/>
        <v>354.96478698597696</v>
      </c>
      <c r="F1265" s="62" t="str">
        <f t="shared" si="98"/>
        <v/>
      </c>
    </row>
    <row r="1266" spans="1:6">
      <c r="A1266" s="60">
        <v>126100</v>
      </c>
      <c r="B1266" s="60">
        <f t="shared" si="96"/>
        <v>3551056</v>
      </c>
      <c r="C1266" s="60">
        <f t="shared" si="99"/>
        <v>3551056</v>
      </c>
      <c r="D1266" s="61">
        <f t="shared" si="95"/>
        <v>1</v>
      </c>
      <c r="E1266" s="64">
        <f t="shared" si="97"/>
        <v>355.10561809129405</v>
      </c>
      <c r="F1266" s="62" t="str">
        <f t="shared" si="98"/>
        <v/>
      </c>
    </row>
    <row r="1267" spans="1:6">
      <c r="A1267" s="60">
        <v>126200</v>
      </c>
      <c r="B1267" s="60">
        <f t="shared" si="96"/>
        <v>3552464</v>
      </c>
      <c r="C1267" s="60">
        <f t="shared" si="99"/>
        <v>3552464</v>
      </c>
      <c r="D1267" s="61">
        <f t="shared" si="95"/>
        <v>1</v>
      </c>
      <c r="E1267" s="64">
        <f t="shared" si="97"/>
        <v>355.24639336663222</v>
      </c>
      <c r="F1267" s="62" t="str">
        <f t="shared" si="98"/>
        <v/>
      </c>
    </row>
    <row r="1268" spans="1:6">
      <c r="A1268" s="60">
        <v>126300</v>
      </c>
      <c r="B1268" s="60">
        <f t="shared" si="96"/>
        <v>3553871</v>
      </c>
      <c r="C1268" s="60">
        <f t="shared" si="99"/>
        <v>3553871</v>
      </c>
      <c r="D1268" s="61">
        <f t="shared" si="95"/>
        <v>1</v>
      </c>
      <c r="E1268" s="64">
        <f t="shared" si="97"/>
        <v>355.38711287833723</v>
      </c>
      <c r="F1268" s="62" t="str">
        <f t="shared" si="98"/>
        <v/>
      </c>
    </row>
    <row r="1269" spans="1:6">
      <c r="A1269" s="60">
        <v>126400</v>
      </c>
      <c r="B1269" s="60">
        <f t="shared" si="96"/>
        <v>3555278</v>
      </c>
      <c r="C1269" s="60">
        <f t="shared" si="99"/>
        <v>3555278</v>
      </c>
      <c r="D1269" s="61">
        <f t="shared" si="95"/>
        <v>1</v>
      </c>
      <c r="E1269" s="64">
        <f t="shared" si="97"/>
        <v>355.52777669262355</v>
      </c>
      <c r="F1269" s="62" t="str">
        <f t="shared" si="98"/>
        <v/>
      </c>
    </row>
    <row r="1270" spans="1:6">
      <c r="A1270" s="60">
        <v>126500</v>
      </c>
      <c r="B1270" s="60">
        <f t="shared" si="96"/>
        <v>3556684</v>
      </c>
      <c r="C1270" s="60">
        <f t="shared" si="99"/>
        <v>3556684</v>
      </c>
      <c r="D1270" s="61">
        <f t="shared" si="95"/>
        <v>1</v>
      </c>
      <c r="E1270" s="64">
        <f t="shared" si="97"/>
        <v>355.66838487557482</v>
      </c>
      <c r="F1270" s="62" t="str">
        <f t="shared" si="98"/>
        <v/>
      </c>
    </row>
    <row r="1271" spans="1:6">
      <c r="A1271" s="60">
        <v>126600</v>
      </c>
      <c r="B1271" s="60">
        <f t="shared" si="96"/>
        <v>3558089</v>
      </c>
      <c r="C1271" s="60">
        <f t="shared" si="99"/>
        <v>3558089</v>
      </c>
      <c r="D1271" s="61">
        <f t="shared" si="95"/>
        <v>1</v>
      </c>
      <c r="E1271" s="64">
        <f t="shared" si="97"/>
        <v>355.8089374931439</v>
      </c>
      <c r="F1271" s="62" t="str">
        <f t="shared" si="98"/>
        <v/>
      </c>
    </row>
    <row r="1272" spans="1:6">
      <c r="A1272" s="60">
        <v>126700</v>
      </c>
      <c r="B1272" s="60">
        <f t="shared" si="96"/>
        <v>3559494</v>
      </c>
      <c r="C1272" s="60">
        <f t="shared" si="99"/>
        <v>3559494</v>
      </c>
      <c r="D1272" s="61">
        <f t="shared" si="95"/>
        <v>1</v>
      </c>
      <c r="E1272" s="64">
        <f t="shared" si="97"/>
        <v>355.94943461115372</v>
      </c>
      <c r="F1272" s="62" t="str">
        <f t="shared" si="98"/>
        <v/>
      </c>
    </row>
    <row r="1273" spans="1:6">
      <c r="A1273" s="60">
        <v>126800</v>
      </c>
      <c r="B1273" s="60">
        <f t="shared" si="96"/>
        <v>3560899</v>
      </c>
      <c r="C1273" s="60">
        <f t="shared" si="99"/>
        <v>3560899</v>
      </c>
      <c r="D1273" s="61">
        <f t="shared" si="95"/>
        <v>1</v>
      </c>
      <c r="E1273" s="64">
        <f t="shared" si="97"/>
        <v>356.08987629529713</v>
      </c>
      <c r="F1273" s="62" t="str">
        <f t="shared" si="98"/>
        <v/>
      </c>
    </row>
    <row r="1274" spans="1:6">
      <c r="A1274" s="60">
        <v>126900</v>
      </c>
      <c r="B1274" s="60">
        <f t="shared" si="96"/>
        <v>3562303</v>
      </c>
      <c r="C1274" s="60">
        <f t="shared" si="99"/>
        <v>3562303</v>
      </c>
      <c r="D1274" s="61">
        <f t="shared" si="95"/>
        <v>1</v>
      </c>
      <c r="E1274" s="64">
        <f t="shared" si="97"/>
        <v>356.2302626111375</v>
      </c>
      <c r="F1274" s="62" t="str">
        <f t="shared" si="98"/>
        <v/>
      </c>
    </row>
    <row r="1275" spans="1:6">
      <c r="A1275" s="60">
        <v>127000</v>
      </c>
      <c r="B1275" s="60">
        <f t="shared" si="96"/>
        <v>3563706</v>
      </c>
      <c r="C1275" s="60">
        <f t="shared" si="99"/>
        <v>3563706</v>
      </c>
      <c r="D1275" s="61">
        <f t="shared" si="95"/>
        <v>1</v>
      </c>
      <c r="E1275" s="64">
        <f t="shared" si="97"/>
        <v>356.37059362410923</v>
      </c>
      <c r="F1275" s="62" t="str">
        <f t="shared" si="98"/>
        <v/>
      </c>
    </row>
    <row r="1276" spans="1:6">
      <c r="A1276" s="60">
        <v>127100</v>
      </c>
      <c r="B1276" s="60">
        <f t="shared" si="96"/>
        <v>3565109</v>
      </c>
      <c r="C1276" s="60">
        <f t="shared" si="99"/>
        <v>3565109</v>
      </c>
      <c r="D1276" s="61">
        <f t="shared" si="95"/>
        <v>1</v>
      </c>
      <c r="E1276" s="64">
        <f t="shared" si="97"/>
        <v>356.51086939951773</v>
      </c>
      <c r="F1276" s="62" t="str">
        <f t="shared" si="98"/>
        <v/>
      </c>
    </row>
    <row r="1277" spans="1:6">
      <c r="A1277" s="60">
        <v>127200</v>
      </c>
      <c r="B1277" s="60">
        <f t="shared" si="96"/>
        <v>3566511</v>
      </c>
      <c r="C1277" s="60">
        <f t="shared" si="99"/>
        <v>3566511</v>
      </c>
      <c r="D1277" s="61">
        <f t="shared" si="95"/>
        <v>1</v>
      </c>
      <c r="E1277" s="64">
        <f t="shared" si="97"/>
        <v>356.65109000254017</v>
      </c>
      <c r="F1277" s="62" t="str">
        <f t="shared" si="98"/>
        <v/>
      </c>
    </row>
    <row r="1278" spans="1:6">
      <c r="A1278" s="60">
        <v>127300</v>
      </c>
      <c r="B1278" s="60">
        <f t="shared" si="96"/>
        <v>3567913</v>
      </c>
      <c r="C1278" s="60">
        <f t="shared" si="99"/>
        <v>3567913</v>
      </c>
      <c r="D1278" s="61">
        <f t="shared" si="95"/>
        <v>1</v>
      </c>
      <c r="E1278" s="64">
        <f t="shared" si="97"/>
        <v>356.79125549822544</v>
      </c>
      <c r="F1278" s="62" t="str">
        <f t="shared" si="98"/>
        <v/>
      </c>
    </row>
    <row r="1279" spans="1:6">
      <c r="A1279" s="60">
        <v>127400</v>
      </c>
      <c r="B1279" s="60">
        <f t="shared" si="96"/>
        <v>3569314</v>
      </c>
      <c r="C1279" s="60">
        <f t="shared" si="99"/>
        <v>3569314</v>
      </c>
      <c r="D1279" s="61">
        <f t="shared" si="95"/>
        <v>1</v>
      </c>
      <c r="E1279" s="64">
        <f t="shared" si="97"/>
        <v>356.93136595149491</v>
      </c>
      <c r="F1279" s="62" t="str">
        <f t="shared" si="98"/>
        <v/>
      </c>
    </row>
    <row r="1280" spans="1:6">
      <c r="A1280" s="60">
        <v>127500</v>
      </c>
      <c r="B1280" s="60">
        <f t="shared" si="96"/>
        <v>3570714</v>
      </c>
      <c r="C1280" s="60">
        <f t="shared" si="99"/>
        <v>3570714</v>
      </c>
      <c r="D1280" s="61">
        <f t="shared" si="95"/>
        <v>1</v>
      </c>
      <c r="E1280" s="64">
        <f t="shared" si="97"/>
        <v>357.07142142714252</v>
      </c>
      <c r="F1280" s="62" t="str">
        <f t="shared" si="98"/>
        <v/>
      </c>
    </row>
    <row r="1281" spans="1:6">
      <c r="A1281" s="60">
        <v>127600</v>
      </c>
      <c r="B1281" s="60">
        <f t="shared" si="96"/>
        <v>3572114</v>
      </c>
      <c r="C1281" s="60">
        <f t="shared" si="99"/>
        <v>3572114</v>
      </c>
      <c r="D1281" s="61">
        <f t="shared" si="95"/>
        <v>1</v>
      </c>
      <c r="E1281" s="64">
        <f t="shared" si="97"/>
        <v>357.21142198983506</v>
      </c>
      <c r="F1281" s="62" t="str">
        <f t="shared" si="98"/>
        <v/>
      </c>
    </row>
    <row r="1282" spans="1:6">
      <c r="A1282" s="60">
        <v>127700</v>
      </c>
      <c r="B1282" s="60">
        <f t="shared" si="96"/>
        <v>3573514</v>
      </c>
      <c r="C1282" s="60">
        <f t="shared" si="99"/>
        <v>3573514</v>
      </c>
      <c r="D1282" s="61">
        <f t="shared" si="95"/>
        <v>1</v>
      </c>
      <c r="E1282" s="64">
        <f t="shared" si="97"/>
        <v>357.35136770411276</v>
      </c>
      <c r="F1282" s="62" t="str">
        <f t="shared" si="98"/>
        <v/>
      </c>
    </row>
    <row r="1283" spans="1:6">
      <c r="A1283" s="60">
        <v>127800</v>
      </c>
      <c r="B1283" s="60">
        <f t="shared" si="96"/>
        <v>3574913</v>
      </c>
      <c r="C1283" s="60">
        <f t="shared" si="99"/>
        <v>3574913</v>
      </c>
      <c r="D1283" s="61">
        <f t="shared" si="95"/>
        <v>1</v>
      </c>
      <c r="E1283" s="64">
        <f t="shared" si="97"/>
        <v>357.49125863438957</v>
      </c>
      <c r="F1283" s="62" t="str">
        <f t="shared" si="98"/>
        <v/>
      </c>
    </row>
    <row r="1284" spans="1:6">
      <c r="A1284" s="60">
        <v>127900</v>
      </c>
      <c r="B1284" s="60">
        <f t="shared" si="96"/>
        <v>3576311</v>
      </c>
      <c r="C1284" s="60">
        <f t="shared" si="99"/>
        <v>3576311</v>
      </c>
      <c r="D1284" s="61">
        <f t="shared" si="95"/>
        <v>1</v>
      </c>
      <c r="E1284" s="64">
        <f t="shared" si="97"/>
        <v>357.63109484495334</v>
      </c>
      <c r="F1284" s="62" t="str">
        <f t="shared" si="98"/>
        <v/>
      </c>
    </row>
    <row r="1285" spans="1:6">
      <c r="A1285" s="60">
        <v>128000</v>
      </c>
      <c r="B1285" s="60">
        <f t="shared" si="96"/>
        <v>3577709</v>
      </c>
      <c r="C1285" s="60">
        <f t="shared" si="99"/>
        <v>3577709</v>
      </c>
      <c r="D1285" s="61">
        <f t="shared" ref="D1285:D1348" si="100">(A1285-INDEX(兵力区间,MATCH(A1285,兵力区间,1)))/(INDEX(兵力区间,MATCH(A1285,兵力区间,1)+1)-INDEX(兵力区间,MATCH(A1285,兵力区间,1)))*((INDEX(兵力调节,MATCH(A1285,兵力区间,1)+1,2)-INDEX(兵力调节,MATCH(A1285,兵力区间,1),2)))+INDEX(兵力调节,MATCH(A1285,兵力区间,1),2)</f>
        <v>1</v>
      </c>
      <c r="E1285" s="64">
        <f t="shared" si="97"/>
        <v>357.77087639996637</v>
      </c>
      <c r="F1285" s="62" t="str">
        <f t="shared" si="98"/>
        <v/>
      </c>
    </row>
    <row r="1286" spans="1:6">
      <c r="A1286" s="60">
        <v>128100</v>
      </c>
      <c r="B1286" s="60">
        <f t="shared" si="96"/>
        <v>3579106</v>
      </c>
      <c r="C1286" s="60">
        <f t="shared" si="99"/>
        <v>3579106</v>
      </c>
      <c r="D1286" s="61">
        <f t="shared" si="100"/>
        <v>1</v>
      </c>
      <c r="E1286" s="64">
        <f t="shared" si="97"/>
        <v>357.91060336346561</v>
      </c>
      <c r="F1286" s="62" t="str">
        <f t="shared" si="98"/>
        <v/>
      </c>
    </row>
    <row r="1287" spans="1:6">
      <c r="A1287" s="60">
        <v>128200</v>
      </c>
      <c r="B1287" s="60">
        <f t="shared" ref="B1287:B1350" si="101">ROUND(D1287*E1287*10000,0)</f>
        <v>3580503</v>
      </c>
      <c r="C1287" s="60">
        <f t="shared" si="99"/>
        <v>3580503</v>
      </c>
      <c r="D1287" s="61">
        <f t="shared" si="100"/>
        <v>1</v>
      </c>
      <c r="E1287" s="64">
        <f t="shared" ref="E1287:E1350" si="102">A1287^0.5</f>
        <v>358.05027579936313</v>
      </c>
      <c r="F1287" s="62" t="str">
        <f t="shared" si="98"/>
        <v/>
      </c>
    </row>
    <row r="1288" spans="1:6">
      <c r="A1288" s="60">
        <v>128300</v>
      </c>
      <c r="B1288" s="60">
        <f t="shared" si="101"/>
        <v>3581899</v>
      </c>
      <c r="C1288" s="60">
        <f t="shared" si="99"/>
        <v>3581899</v>
      </c>
      <c r="D1288" s="61">
        <f t="shared" si="100"/>
        <v>1</v>
      </c>
      <c r="E1288" s="64">
        <f t="shared" si="102"/>
        <v>358.18989377144629</v>
      </c>
      <c r="F1288" s="62" t="str">
        <f t="shared" ref="F1288:F1351" si="103">IF(B1288&lt;B1287,1,"")</f>
        <v/>
      </c>
    </row>
    <row r="1289" spans="1:6">
      <c r="A1289" s="60">
        <v>128400</v>
      </c>
      <c r="B1289" s="60">
        <f t="shared" si="101"/>
        <v>3583295</v>
      </c>
      <c r="C1289" s="60">
        <f t="shared" si="99"/>
        <v>3583295</v>
      </c>
      <c r="D1289" s="61">
        <f t="shared" si="100"/>
        <v>1</v>
      </c>
      <c r="E1289" s="64">
        <f t="shared" si="102"/>
        <v>358.32945734337835</v>
      </c>
      <c r="F1289" s="62" t="str">
        <f t="shared" si="103"/>
        <v/>
      </c>
    </row>
    <row r="1290" spans="1:6">
      <c r="A1290" s="60">
        <v>128500</v>
      </c>
      <c r="B1290" s="60">
        <f t="shared" si="101"/>
        <v>3584690</v>
      </c>
      <c r="C1290" s="60">
        <f t="shared" si="99"/>
        <v>3584690</v>
      </c>
      <c r="D1290" s="61">
        <f t="shared" si="100"/>
        <v>1</v>
      </c>
      <c r="E1290" s="64">
        <f t="shared" si="102"/>
        <v>358.46896657869843</v>
      </c>
      <c r="F1290" s="62" t="str">
        <f t="shared" si="103"/>
        <v/>
      </c>
    </row>
    <row r="1291" spans="1:6">
      <c r="A1291" s="60">
        <v>128600</v>
      </c>
      <c r="B1291" s="60">
        <f t="shared" si="101"/>
        <v>3586084</v>
      </c>
      <c r="C1291" s="60">
        <f t="shared" ref="C1291:C1354" si="104">ROUND(D1291*E1291*10000,0)</f>
        <v>3586084</v>
      </c>
      <c r="D1291" s="61">
        <f t="shared" si="100"/>
        <v>1</v>
      </c>
      <c r="E1291" s="64">
        <f t="shared" si="102"/>
        <v>358.60842154082218</v>
      </c>
      <c r="F1291" s="62" t="str">
        <f t="shared" si="103"/>
        <v/>
      </c>
    </row>
    <row r="1292" spans="1:6">
      <c r="A1292" s="60">
        <v>128700</v>
      </c>
      <c r="B1292" s="60">
        <f t="shared" si="101"/>
        <v>3587478</v>
      </c>
      <c r="C1292" s="60">
        <f t="shared" si="104"/>
        <v>3587478</v>
      </c>
      <c r="D1292" s="61">
        <f t="shared" si="100"/>
        <v>1</v>
      </c>
      <c r="E1292" s="64">
        <f t="shared" si="102"/>
        <v>358.74782229304196</v>
      </c>
      <c r="F1292" s="62" t="str">
        <f t="shared" si="103"/>
        <v/>
      </c>
    </row>
    <row r="1293" spans="1:6">
      <c r="A1293" s="60">
        <v>128800</v>
      </c>
      <c r="B1293" s="60">
        <f t="shared" si="101"/>
        <v>3588872</v>
      </c>
      <c r="C1293" s="60">
        <f t="shared" si="104"/>
        <v>3588872</v>
      </c>
      <c r="D1293" s="61">
        <f t="shared" si="100"/>
        <v>1</v>
      </c>
      <c r="E1293" s="64">
        <f t="shared" si="102"/>
        <v>358.88716889852719</v>
      </c>
      <c r="F1293" s="62" t="str">
        <f t="shared" si="103"/>
        <v/>
      </c>
    </row>
    <row r="1294" spans="1:6">
      <c r="A1294" s="60">
        <v>128900</v>
      </c>
      <c r="B1294" s="60">
        <f t="shared" si="101"/>
        <v>3590265</v>
      </c>
      <c r="C1294" s="60">
        <f t="shared" si="104"/>
        <v>3590265</v>
      </c>
      <c r="D1294" s="61">
        <f t="shared" si="100"/>
        <v>1</v>
      </c>
      <c r="E1294" s="64">
        <f t="shared" si="102"/>
        <v>359.02646142032484</v>
      </c>
      <c r="F1294" s="62" t="str">
        <f t="shared" si="103"/>
        <v/>
      </c>
    </row>
    <row r="1295" spans="1:6">
      <c r="A1295" s="60">
        <v>129000</v>
      </c>
      <c r="B1295" s="60">
        <f t="shared" si="101"/>
        <v>3591657</v>
      </c>
      <c r="C1295" s="60">
        <f t="shared" si="104"/>
        <v>3591657</v>
      </c>
      <c r="D1295" s="61">
        <f t="shared" si="100"/>
        <v>1</v>
      </c>
      <c r="E1295" s="64">
        <f t="shared" si="102"/>
        <v>359.16569992135942</v>
      </c>
      <c r="F1295" s="62" t="str">
        <f t="shared" si="103"/>
        <v/>
      </c>
    </row>
    <row r="1296" spans="1:6">
      <c r="A1296" s="60">
        <v>129100</v>
      </c>
      <c r="B1296" s="60">
        <f t="shared" si="101"/>
        <v>3593049</v>
      </c>
      <c r="C1296" s="60">
        <f t="shared" si="104"/>
        <v>3593049</v>
      </c>
      <c r="D1296" s="61">
        <f t="shared" si="100"/>
        <v>1</v>
      </c>
      <c r="E1296" s="64">
        <f t="shared" si="102"/>
        <v>359.30488446443366</v>
      </c>
      <c r="F1296" s="62" t="str">
        <f t="shared" si="103"/>
        <v/>
      </c>
    </row>
    <row r="1297" spans="1:6">
      <c r="A1297" s="60">
        <v>129200</v>
      </c>
      <c r="B1297" s="60">
        <f t="shared" si="101"/>
        <v>3594440</v>
      </c>
      <c r="C1297" s="60">
        <f t="shared" si="104"/>
        <v>3594440</v>
      </c>
      <c r="D1297" s="61">
        <f t="shared" si="100"/>
        <v>1</v>
      </c>
      <c r="E1297" s="64">
        <f t="shared" si="102"/>
        <v>359.44401511222856</v>
      </c>
      <c r="F1297" s="62" t="str">
        <f t="shared" si="103"/>
        <v/>
      </c>
    </row>
    <row r="1298" spans="1:6">
      <c r="A1298" s="60">
        <v>129300</v>
      </c>
      <c r="B1298" s="60">
        <f t="shared" si="101"/>
        <v>3595831</v>
      </c>
      <c r="C1298" s="60">
        <f t="shared" si="104"/>
        <v>3595831</v>
      </c>
      <c r="D1298" s="61">
        <f t="shared" si="100"/>
        <v>1</v>
      </c>
      <c r="E1298" s="64">
        <f t="shared" si="102"/>
        <v>359.58309192730405</v>
      </c>
      <c r="F1298" s="62" t="str">
        <f t="shared" si="103"/>
        <v/>
      </c>
    </row>
    <row r="1299" spans="1:6">
      <c r="A1299" s="60">
        <v>129400</v>
      </c>
      <c r="B1299" s="60">
        <f t="shared" si="101"/>
        <v>3597221</v>
      </c>
      <c r="C1299" s="60">
        <f t="shared" si="104"/>
        <v>3597221</v>
      </c>
      <c r="D1299" s="61">
        <f t="shared" si="100"/>
        <v>1</v>
      </c>
      <c r="E1299" s="64">
        <f t="shared" si="102"/>
        <v>359.72211497209901</v>
      </c>
      <c r="F1299" s="62" t="str">
        <f t="shared" si="103"/>
        <v/>
      </c>
    </row>
    <row r="1300" spans="1:6">
      <c r="A1300" s="60">
        <v>129500</v>
      </c>
      <c r="B1300" s="60">
        <f t="shared" si="101"/>
        <v>3598611</v>
      </c>
      <c r="C1300" s="60">
        <f t="shared" si="104"/>
        <v>3598611</v>
      </c>
      <c r="D1300" s="61">
        <f t="shared" si="100"/>
        <v>1</v>
      </c>
      <c r="E1300" s="64">
        <f t="shared" si="102"/>
        <v>359.86108430893165</v>
      </c>
      <c r="F1300" s="62" t="str">
        <f t="shared" si="103"/>
        <v/>
      </c>
    </row>
    <row r="1301" spans="1:6">
      <c r="A1301" s="60">
        <v>129600</v>
      </c>
      <c r="B1301" s="60">
        <f t="shared" si="101"/>
        <v>3600000</v>
      </c>
      <c r="C1301" s="60">
        <f t="shared" si="104"/>
        <v>3600000</v>
      </c>
      <c r="D1301" s="61">
        <f t="shared" si="100"/>
        <v>1</v>
      </c>
      <c r="E1301" s="64">
        <f t="shared" si="102"/>
        <v>360</v>
      </c>
      <c r="F1301" s="62" t="str">
        <f t="shared" si="103"/>
        <v/>
      </c>
    </row>
    <row r="1302" spans="1:6">
      <c r="A1302" s="60">
        <v>129700</v>
      </c>
      <c r="B1302" s="60">
        <f t="shared" si="101"/>
        <v>3601389</v>
      </c>
      <c r="C1302" s="60">
        <f t="shared" si="104"/>
        <v>3601389</v>
      </c>
      <c r="D1302" s="61">
        <f t="shared" si="100"/>
        <v>1</v>
      </c>
      <c r="E1302" s="64">
        <f t="shared" si="102"/>
        <v>360.13886210738212</v>
      </c>
      <c r="F1302" s="62" t="str">
        <f t="shared" si="103"/>
        <v/>
      </c>
    </row>
    <row r="1303" spans="1:6">
      <c r="A1303" s="60">
        <v>129800</v>
      </c>
      <c r="B1303" s="60">
        <f t="shared" si="101"/>
        <v>3602777</v>
      </c>
      <c r="C1303" s="60">
        <f t="shared" si="104"/>
        <v>3602777</v>
      </c>
      <c r="D1303" s="61">
        <f t="shared" si="100"/>
        <v>1</v>
      </c>
      <c r="E1303" s="64">
        <f t="shared" si="102"/>
        <v>360.27767069303644</v>
      </c>
      <c r="F1303" s="62" t="str">
        <f t="shared" si="103"/>
        <v/>
      </c>
    </row>
    <row r="1304" spans="1:6">
      <c r="A1304" s="60">
        <v>129900</v>
      </c>
      <c r="B1304" s="60">
        <f t="shared" si="101"/>
        <v>3604164</v>
      </c>
      <c r="C1304" s="60">
        <f t="shared" si="104"/>
        <v>3604164</v>
      </c>
      <c r="D1304" s="61">
        <f t="shared" si="100"/>
        <v>1</v>
      </c>
      <c r="E1304" s="64">
        <f t="shared" si="102"/>
        <v>360.416425818802</v>
      </c>
      <c r="F1304" s="62" t="str">
        <f t="shared" si="103"/>
        <v/>
      </c>
    </row>
    <row r="1305" spans="1:6">
      <c r="A1305" s="60">
        <v>130000</v>
      </c>
      <c r="B1305" s="60">
        <f t="shared" si="101"/>
        <v>3605551</v>
      </c>
      <c r="C1305" s="60">
        <f t="shared" si="104"/>
        <v>3605551</v>
      </c>
      <c r="D1305" s="61">
        <f t="shared" si="100"/>
        <v>1</v>
      </c>
      <c r="E1305" s="64">
        <f t="shared" si="102"/>
        <v>360.55512754639892</v>
      </c>
      <c r="F1305" s="62" t="str">
        <f t="shared" si="103"/>
        <v/>
      </c>
    </row>
    <row r="1306" spans="1:6">
      <c r="A1306" s="60">
        <v>130100</v>
      </c>
      <c r="B1306" s="60">
        <f t="shared" si="101"/>
        <v>3606938</v>
      </c>
      <c r="C1306" s="60">
        <f t="shared" si="104"/>
        <v>3606938</v>
      </c>
      <c r="D1306" s="61">
        <f t="shared" si="100"/>
        <v>1</v>
      </c>
      <c r="E1306" s="64">
        <f t="shared" si="102"/>
        <v>360.69377593742865</v>
      </c>
      <c r="F1306" s="62" t="str">
        <f t="shared" si="103"/>
        <v/>
      </c>
    </row>
    <row r="1307" spans="1:6">
      <c r="A1307" s="60">
        <v>130200</v>
      </c>
      <c r="B1307" s="60">
        <f t="shared" si="101"/>
        <v>3608324</v>
      </c>
      <c r="C1307" s="60">
        <f t="shared" si="104"/>
        <v>3608324</v>
      </c>
      <c r="D1307" s="61">
        <f t="shared" si="100"/>
        <v>1</v>
      </c>
      <c r="E1307" s="64">
        <f t="shared" si="102"/>
        <v>360.83237105337429</v>
      </c>
      <c r="F1307" s="62" t="str">
        <f t="shared" si="103"/>
        <v/>
      </c>
    </row>
    <row r="1308" spans="1:6">
      <c r="A1308" s="60">
        <v>130300</v>
      </c>
      <c r="B1308" s="60">
        <f t="shared" si="101"/>
        <v>3609709</v>
      </c>
      <c r="C1308" s="60">
        <f t="shared" si="104"/>
        <v>3609709</v>
      </c>
      <c r="D1308" s="61">
        <f t="shared" si="100"/>
        <v>1</v>
      </c>
      <c r="E1308" s="64">
        <f t="shared" si="102"/>
        <v>360.97091295560091</v>
      </c>
      <c r="F1308" s="62" t="str">
        <f t="shared" si="103"/>
        <v/>
      </c>
    </row>
    <row r="1309" spans="1:6">
      <c r="A1309" s="60">
        <v>130400</v>
      </c>
      <c r="B1309" s="60">
        <f t="shared" si="101"/>
        <v>3611094</v>
      </c>
      <c r="C1309" s="60">
        <f t="shared" si="104"/>
        <v>3611094</v>
      </c>
      <c r="D1309" s="61">
        <f t="shared" si="100"/>
        <v>1</v>
      </c>
      <c r="E1309" s="64">
        <f t="shared" si="102"/>
        <v>361.10940170535576</v>
      </c>
      <c r="F1309" s="62" t="str">
        <f t="shared" si="103"/>
        <v/>
      </c>
    </row>
    <row r="1310" spans="1:6">
      <c r="A1310" s="60">
        <v>130500</v>
      </c>
      <c r="B1310" s="60">
        <f t="shared" si="101"/>
        <v>3612478</v>
      </c>
      <c r="C1310" s="60">
        <f t="shared" si="104"/>
        <v>3612478</v>
      </c>
      <c r="D1310" s="61">
        <f t="shared" si="100"/>
        <v>1</v>
      </c>
      <c r="E1310" s="64">
        <f t="shared" si="102"/>
        <v>361.24783736376884</v>
      </c>
      <c r="F1310" s="62" t="str">
        <f t="shared" si="103"/>
        <v/>
      </c>
    </row>
    <row r="1311" spans="1:6">
      <c r="A1311" s="60">
        <v>130600</v>
      </c>
      <c r="B1311" s="60">
        <f t="shared" si="101"/>
        <v>3613862</v>
      </c>
      <c r="C1311" s="60">
        <f t="shared" si="104"/>
        <v>3613862</v>
      </c>
      <c r="D1311" s="61">
        <f t="shared" si="100"/>
        <v>1</v>
      </c>
      <c r="E1311" s="64">
        <f t="shared" si="102"/>
        <v>361.38621999185301</v>
      </c>
      <c r="F1311" s="62" t="str">
        <f t="shared" si="103"/>
        <v/>
      </c>
    </row>
    <row r="1312" spans="1:6">
      <c r="A1312" s="60">
        <v>130700</v>
      </c>
      <c r="B1312" s="60">
        <f t="shared" si="101"/>
        <v>3615245</v>
      </c>
      <c r="C1312" s="60">
        <f t="shared" si="104"/>
        <v>3615245</v>
      </c>
      <c r="D1312" s="61">
        <f t="shared" si="100"/>
        <v>1</v>
      </c>
      <c r="E1312" s="64">
        <f t="shared" si="102"/>
        <v>361.52454965050435</v>
      </c>
      <c r="F1312" s="62" t="str">
        <f t="shared" si="103"/>
        <v/>
      </c>
    </row>
    <row r="1313" spans="1:6">
      <c r="A1313" s="60">
        <v>130800</v>
      </c>
      <c r="B1313" s="60">
        <f t="shared" si="101"/>
        <v>3616628</v>
      </c>
      <c r="C1313" s="60">
        <f t="shared" si="104"/>
        <v>3616628</v>
      </c>
      <c r="D1313" s="61">
        <f t="shared" si="100"/>
        <v>1</v>
      </c>
      <c r="E1313" s="64">
        <f t="shared" si="102"/>
        <v>361.66282640050247</v>
      </c>
      <c r="F1313" s="62" t="str">
        <f t="shared" si="103"/>
        <v/>
      </c>
    </row>
    <row r="1314" spans="1:6">
      <c r="A1314" s="60">
        <v>130900</v>
      </c>
      <c r="B1314" s="60">
        <f t="shared" si="101"/>
        <v>3618011</v>
      </c>
      <c r="C1314" s="60">
        <f t="shared" si="104"/>
        <v>3618011</v>
      </c>
      <c r="D1314" s="61">
        <f t="shared" si="100"/>
        <v>1</v>
      </c>
      <c r="E1314" s="64">
        <f t="shared" si="102"/>
        <v>361.80105030251087</v>
      </c>
      <c r="F1314" s="62" t="str">
        <f t="shared" si="103"/>
        <v/>
      </c>
    </row>
    <row r="1315" spans="1:6">
      <c r="A1315" s="60">
        <v>131000</v>
      </c>
      <c r="B1315" s="60">
        <f t="shared" si="101"/>
        <v>3619392</v>
      </c>
      <c r="C1315" s="60">
        <f t="shared" si="104"/>
        <v>3619392</v>
      </c>
      <c r="D1315" s="61">
        <f t="shared" si="100"/>
        <v>1</v>
      </c>
      <c r="E1315" s="64">
        <f t="shared" si="102"/>
        <v>361.93922141707714</v>
      </c>
      <c r="F1315" s="62" t="str">
        <f t="shared" si="103"/>
        <v/>
      </c>
    </row>
    <row r="1316" spans="1:6">
      <c r="A1316" s="60">
        <v>131100</v>
      </c>
      <c r="B1316" s="60">
        <f t="shared" si="101"/>
        <v>3620773</v>
      </c>
      <c r="C1316" s="60">
        <f t="shared" si="104"/>
        <v>3620773</v>
      </c>
      <c r="D1316" s="61">
        <f t="shared" si="100"/>
        <v>1</v>
      </c>
      <c r="E1316" s="64">
        <f t="shared" si="102"/>
        <v>362.07733980463343</v>
      </c>
      <c r="F1316" s="62" t="str">
        <f t="shared" si="103"/>
        <v/>
      </c>
    </row>
    <row r="1317" spans="1:6">
      <c r="A1317" s="60">
        <v>131200</v>
      </c>
      <c r="B1317" s="60">
        <f t="shared" si="101"/>
        <v>3622154</v>
      </c>
      <c r="C1317" s="60">
        <f t="shared" si="104"/>
        <v>3622154</v>
      </c>
      <c r="D1317" s="61">
        <f t="shared" si="100"/>
        <v>1</v>
      </c>
      <c r="E1317" s="64">
        <f t="shared" si="102"/>
        <v>362.21540552549669</v>
      </c>
      <c r="F1317" s="62" t="str">
        <f t="shared" si="103"/>
        <v/>
      </c>
    </row>
    <row r="1318" spans="1:6">
      <c r="A1318" s="60">
        <v>131300</v>
      </c>
      <c r="B1318" s="60">
        <f t="shared" si="101"/>
        <v>3623534</v>
      </c>
      <c r="C1318" s="60">
        <f t="shared" si="104"/>
        <v>3623534</v>
      </c>
      <c r="D1318" s="61">
        <f t="shared" si="100"/>
        <v>1</v>
      </c>
      <c r="E1318" s="64">
        <f t="shared" si="102"/>
        <v>362.35341863986878</v>
      </c>
      <c r="F1318" s="62" t="str">
        <f t="shared" si="103"/>
        <v/>
      </c>
    </row>
    <row r="1319" spans="1:6">
      <c r="A1319" s="60">
        <v>131400</v>
      </c>
      <c r="B1319" s="60">
        <f t="shared" si="101"/>
        <v>3624914</v>
      </c>
      <c r="C1319" s="60">
        <f t="shared" si="104"/>
        <v>3624914</v>
      </c>
      <c r="D1319" s="61">
        <f t="shared" si="100"/>
        <v>1</v>
      </c>
      <c r="E1319" s="64">
        <f t="shared" si="102"/>
        <v>362.49137920783716</v>
      </c>
      <c r="F1319" s="62" t="str">
        <f t="shared" si="103"/>
        <v/>
      </c>
    </row>
    <row r="1320" spans="1:6">
      <c r="A1320" s="60">
        <v>131500</v>
      </c>
      <c r="B1320" s="60">
        <f t="shared" si="101"/>
        <v>3626293</v>
      </c>
      <c r="C1320" s="60">
        <f t="shared" si="104"/>
        <v>3626293</v>
      </c>
      <c r="D1320" s="61">
        <f t="shared" si="100"/>
        <v>1</v>
      </c>
      <c r="E1320" s="64">
        <f t="shared" si="102"/>
        <v>362.62928728937493</v>
      </c>
      <c r="F1320" s="62" t="str">
        <f t="shared" si="103"/>
        <v/>
      </c>
    </row>
    <row r="1321" spans="1:6">
      <c r="A1321" s="60">
        <v>131600</v>
      </c>
      <c r="B1321" s="60">
        <f t="shared" si="101"/>
        <v>3627671</v>
      </c>
      <c r="C1321" s="60">
        <f t="shared" si="104"/>
        <v>3627671</v>
      </c>
      <c r="D1321" s="61">
        <f t="shared" si="100"/>
        <v>1</v>
      </c>
      <c r="E1321" s="64">
        <f t="shared" si="102"/>
        <v>362.76714294434106</v>
      </c>
      <c r="F1321" s="62" t="str">
        <f t="shared" si="103"/>
        <v/>
      </c>
    </row>
    <row r="1322" spans="1:6">
      <c r="A1322" s="60">
        <v>131700</v>
      </c>
      <c r="B1322" s="60">
        <f t="shared" si="101"/>
        <v>3629049</v>
      </c>
      <c r="C1322" s="60">
        <f t="shared" si="104"/>
        <v>3629049</v>
      </c>
      <c r="D1322" s="61">
        <f t="shared" si="100"/>
        <v>1</v>
      </c>
      <c r="E1322" s="64">
        <f t="shared" si="102"/>
        <v>362.90494623248111</v>
      </c>
      <c r="F1322" s="62" t="str">
        <f t="shared" si="103"/>
        <v/>
      </c>
    </row>
    <row r="1323" spans="1:6">
      <c r="A1323" s="60">
        <v>131800</v>
      </c>
      <c r="B1323" s="60">
        <f t="shared" si="101"/>
        <v>3630427</v>
      </c>
      <c r="C1323" s="60">
        <f t="shared" si="104"/>
        <v>3630427</v>
      </c>
      <c r="D1323" s="61">
        <f t="shared" si="100"/>
        <v>1</v>
      </c>
      <c r="E1323" s="64">
        <f t="shared" si="102"/>
        <v>363.04269721342695</v>
      </c>
      <c r="F1323" s="62" t="str">
        <f t="shared" si="103"/>
        <v/>
      </c>
    </row>
    <row r="1324" spans="1:6">
      <c r="A1324" s="60">
        <v>131900</v>
      </c>
      <c r="B1324" s="60">
        <f t="shared" si="101"/>
        <v>3631804</v>
      </c>
      <c r="C1324" s="60">
        <f t="shared" si="104"/>
        <v>3631804</v>
      </c>
      <c r="D1324" s="61">
        <f t="shared" si="100"/>
        <v>1</v>
      </c>
      <c r="E1324" s="64">
        <f t="shared" si="102"/>
        <v>363.18039594669756</v>
      </c>
      <c r="F1324" s="62" t="str">
        <f t="shared" si="103"/>
        <v/>
      </c>
    </row>
    <row r="1325" spans="1:6">
      <c r="A1325" s="60">
        <v>132000</v>
      </c>
      <c r="B1325" s="60">
        <f t="shared" si="101"/>
        <v>3633180</v>
      </c>
      <c r="C1325" s="60">
        <f t="shared" si="104"/>
        <v>3633180</v>
      </c>
      <c r="D1325" s="61">
        <f t="shared" si="100"/>
        <v>1</v>
      </c>
      <c r="E1325" s="64">
        <f t="shared" si="102"/>
        <v>363.31804249169898</v>
      </c>
      <c r="F1325" s="62" t="str">
        <f t="shared" si="103"/>
        <v/>
      </c>
    </row>
    <row r="1326" spans="1:6">
      <c r="A1326" s="60">
        <v>132100</v>
      </c>
      <c r="B1326" s="60">
        <f t="shared" si="101"/>
        <v>3634556</v>
      </c>
      <c r="C1326" s="60">
        <f t="shared" si="104"/>
        <v>3634556</v>
      </c>
      <c r="D1326" s="61">
        <f t="shared" si="100"/>
        <v>1</v>
      </c>
      <c r="E1326" s="64">
        <f t="shared" si="102"/>
        <v>363.45563690772497</v>
      </c>
      <c r="F1326" s="62" t="str">
        <f t="shared" si="103"/>
        <v/>
      </c>
    </row>
    <row r="1327" spans="1:6">
      <c r="A1327" s="60">
        <v>132200</v>
      </c>
      <c r="B1327" s="60">
        <f t="shared" si="101"/>
        <v>3635932</v>
      </c>
      <c r="C1327" s="60">
        <f t="shared" si="104"/>
        <v>3635932</v>
      </c>
      <c r="D1327" s="61">
        <f t="shared" si="100"/>
        <v>1</v>
      </c>
      <c r="E1327" s="64">
        <f t="shared" si="102"/>
        <v>363.59317925395686</v>
      </c>
      <c r="F1327" s="62" t="str">
        <f t="shared" si="103"/>
        <v/>
      </c>
    </row>
    <row r="1328" spans="1:6">
      <c r="A1328" s="60">
        <v>132300</v>
      </c>
      <c r="B1328" s="60">
        <f t="shared" si="101"/>
        <v>3637307</v>
      </c>
      <c r="C1328" s="60">
        <f t="shared" si="104"/>
        <v>3637307</v>
      </c>
      <c r="D1328" s="61">
        <f t="shared" si="100"/>
        <v>1</v>
      </c>
      <c r="E1328" s="64">
        <f t="shared" si="102"/>
        <v>363.73066958946424</v>
      </c>
      <c r="F1328" s="62" t="str">
        <f t="shared" si="103"/>
        <v/>
      </c>
    </row>
    <row r="1329" spans="1:6">
      <c r="A1329" s="60">
        <v>132400</v>
      </c>
      <c r="B1329" s="60">
        <f t="shared" si="101"/>
        <v>3638681</v>
      </c>
      <c r="C1329" s="60">
        <f t="shared" si="104"/>
        <v>3638681</v>
      </c>
      <c r="D1329" s="61">
        <f t="shared" si="100"/>
        <v>1</v>
      </c>
      <c r="E1329" s="64">
        <f t="shared" si="102"/>
        <v>363.86810797320504</v>
      </c>
      <c r="F1329" s="62" t="str">
        <f t="shared" si="103"/>
        <v/>
      </c>
    </row>
    <row r="1330" spans="1:6">
      <c r="A1330" s="60">
        <v>132500</v>
      </c>
      <c r="B1330" s="60">
        <f t="shared" si="101"/>
        <v>3640055</v>
      </c>
      <c r="C1330" s="60">
        <f t="shared" si="104"/>
        <v>3640055</v>
      </c>
      <c r="D1330" s="61">
        <f t="shared" si="100"/>
        <v>1</v>
      </c>
      <c r="E1330" s="64">
        <f t="shared" si="102"/>
        <v>364.0054944640259</v>
      </c>
      <c r="F1330" s="62" t="str">
        <f t="shared" si="103"/>
        <v/>
      </c>
    </row>
    <row r="1331" spans="1:6">
      <c r="A1331" s="60">
        <v>132600</v>
      </c>
      <c r="B1331" s="60">
        <f t="shared" si="101"/>
        <v>3641428</v>
      </c>
      <c r="C1331" s="60">
        <f t="shared" si="104"/>
        <v>3641428</v>
      </c>
      <c r="D1331" s="61">
        <f t="shared" si="100"/>
        <v>1</v>
      </c>
      <c r="E1331" s="64">
        <f t="shared" si="102"/>
        <v>364.1428291206625</v>
      </c>
      <c r="F1331" s="62" t="str">
        <f t="shared" si="103"/>
        <v/>
      </c>
    </row>
    <row r="1332" spans="1:6">
      <c r="A1332" s="60">
        <v>132700</v>
      </c>
      <c r="B1332" s="60">
        <f t="shared" si="101"/>
        <v>3642801</v>
      </c>
      <c r="C1332" s="60">
        <f t="shared" si="104"/>
        <v>3642801</v>
      </c>
      <c r="D1332" s="61">
        <f t="shared" si="100"/>
        <v>1</v>
      </c>
      <c r="E1332" s="64">
        <f t="shared" si="102"/>
        <v>364.28011200173967</v>
      </c>
      <c r="F1332" s="62" t="str">
        <f t="shared" si="103"/>
        <v/>
      </c>
    </row>
    <row r="1333" spans="1:6">
      <c r="A1333" s="60">
        <v>132800</v>
      </c>
      <c r="B1333" s="60">
        <f t="shared" si="101"/>
        <v>3644173</v>
      </c>
      <c r="C1333" s="60">
        <f t="shared" si="104"/>
        <v>3644173</v>
      </c>
      <c r="D1333" s="61">
        <f t="shared" si="100"/>
        <v>1</v>
      </c>
      <c r="E1333" s="64">
        <f t="shared" si="102"/>
        <v>364.41734316577197</v>
      </c>
      <c r="F1333" s="62" t="str">
        <f t="shared" si="103"/>
        <v/>
      </c>
    </row>
    <row r="1334" spans="1:6">
      <c r="A1334" s="60">
        <v>132900</v>
      </c>
      <c r="B1334" s="60">
        <f t="shared" si="101"/>
        <v>3645545</v>
      </c>
      <c r="C1334" s="60">
        <f t="shared" si="104"/>
        <v>3645545</v>
      </c>
      <c r="D1334" s="61">
        <f t="shared" si="100"/>
        <v>1</v>
      </c>
      <c r="E1334" s="64">
        <f t="shared" si="102"/>
        <v>364.55452267116368</v>
      </c>
      <c r="F1334" s="62" t="str">
        <f t="shared" si="103"/>
        <v/>
      </c>
    </row>
    <row r="1335" spans="1:6">
      <c r="A1335" s="60">
        <v>133000</v>
      </c>
      <c r="B1335" s="60">
        <f t="shared" si="101"/>
        <v>3646917</v>
      </c>
      <c r="C1335" s="60">
        <f t="shared" si="104"/>
        <v>3646917</v>
      </c>
      <c r="D1335" s="61">
        <f t="shared" si="100"/>
        <v>1</v>
      </c>
      <c r="E1335" s="64">
        <f t="shared" si="102"/>
        <v>364.69165057620938</v>
      </c>
      <c r="F1335" s="62" t="str">
        <f t="shared" si="103"/>
        <v/>
      </c>
    </row>
    <row r="1336" spans="1:6">
      <c r="A1336" s="60">
        <v>133100</v>
      </c>
      <c r="B1336" s="60">
        <f t="shared" si="101"/>
        <v>3648287</v>
      </c>
      <c r="C1336" s="60">
        <f t="shared" si="104"/>
        <v>3648287</v>
      </c>
      <c r="D1336" s="61">
        <f t="shared" si="100"/>
        <v>1</v>
      </c>
      <c r="E1336" s="64">
        <f t="shared" si="102"/>
        <v>364.828726939094</v>
      </c>
      <c r="F1336" s="62" t="str">
        <f t="shared" si="103"/>
        <v/>
      </c>
    </row>
    <row r="1337" spans="1:6">
      <c r="A1337" s="60">
        <v>133200</v>
      </c>
      <c r="B1337" s="60">
        <f t="shared" si="101"/>
        <v>3649658</v>
      </c>
      <c r="C1337" s="60">
        <f t="shared" si="104"/>
        <v>3649658</v>
      </c>
      <c r="D1337" s="61">
        <f t="shared" si="100"/>
        <v>1</v>
      </c>
      <c r="E1337" s="64">
        <f t="shared" si="102"/>
        <v>364.96575181789319</v>
      </c>
      <c r="F1337" s="62" t="str">
        <f t="shared" si="103"/>
        <v/>
      </c>
    </row>
    <row r="1338" spans="1:6">
      <c r="A1338" s="60">
        <v>133300</v>
      </c>
      <c r="B1338" s="60">
        <f t="shared" si="101"/>
        <v>3651027</v>
      </c>
      <c r="C1338" s="60">
        <f t="shared" si="104"/>
        <v>3651027</v>
      </c>
      <c r="D1338" s="61">
        <f t="shared" si="100"/>
        <v>1</v>
      </c>
      <c r="E1338" s="64">
        <f t="shared" si="102"/>
        <v>365.10272527057367</v>
      </c>
      <c r="F1338" s="62" t="str">
        <f t="shared" si="103"/>
        <v/>
      </c>
    </row>
    <row r="1339" spans="1:6">
      <c r="A1339" s="60">
        <v>133400</v>
      </c>
      <c r="B1339" s="60">
        <f t="shared" si="101"/>
        <v>3652396</v>
      </c>
      <c r="C1339" s="60">
        <f t="shared" si="104"/>
        <v>3652396</v>
      </c>
      <c r="D1339" s="61">
        <f t="shared" si="100"/>
        <v>1</v>
      </c>
      <c r="E1339" s="64">
        <f t="shared" si="102"/>
        <v>365.23964735499351</v>
      </c>
      <c r="F1339" s="62" t="str">
        <f t="shared" si="103"/>
        <v/>
      </c>
    </row>
    <row r="1340" spans="1:6">
      <c r="A1340" s="60">
        <v>133500</v>
      </c>
      <c r="B1340" s="60">
        <f t="shared" si="101"/>
        <v>3653765</v>
      </c>
      <c r="C1340" s="60">
        <f t="shared" si="104"/>
        <v>3653765</v>
      </c>
      <c r="D1340" s="61">
        <f t="shared" si="100"/>
        <v>1</v>
      </c>
      <c r="E1340" s="64">
        <f t="shared" si="102"/>
        <v>365.37651812890221</v>
      </c>
      <c r="F1340" s="62" t="str">
        <f t="shared" si="103"/>
        <v/>
      </c>
    </row>
    <row r="1341" spans="1:6">
      <c r="A1341" s="60">
        <v>133600</v>
      </c>
      <c r="B1341" s="60">
        <f t="shared" si="101"/>
        <v>3655133</v>
      </c>
      <c r="C1341" s="60">
        <f t="shared" si="104"/>
        <v>3655133</v>
      </c>
      <c r="D1341" s="61">
        <f t="shared" si="100"/>
        <v>1</v>
      </c>
      <c r="E1341" s="64">
        <f t="shared" si="102"/>
        <v>365.51333764994132</v>
      </c>
      <c r="F1341" s="62" t="str">
        <f t="shared" si="103"/>
        <v/>
      </c>
    </row>
    <row r="1342" spans="1:6">
      <c r="A1342" s="60">
        <v>133700</v>
      </c>
      <c r="B1342" s="60">
        <f t="shared" si="101"/>
        <v>3656501</v>
      </c>
      <c r="C1342" s="60">
        <f t="shared" si="104"/>
        <v>3656501</v>
      </c>
      <c r="D1342" s="61">
        <f t="shared" si="100"/>
        <v>1</v>
      </c>
      <c r="E1342" s="64">
        <f t="shared" si="102"/>
        <v>365.65010597564441</v>
      </c>
      <c r="F1342" s="62" t="str">
        <f t="shared" si="103"/>
        <v/>
      </c>
    </row>
    <row r="1343" spans="1:6">
      <c r="A1343" s="60">
        <v>133800</v>
      </c>
      <c r="B1343" s="60">
        <f t="shared" si="101"/>
        <v>3657868</v>
      </c>
      <c r="C1343" s="60">
        <f t="shared" si="104"/>
        <v>3657868</v>
      </c>
      <c r="D1343" s="61">
        <f t="shared" si="100"/>
        <v>1</v>
      </c>
      <c r="E1343" s="64">
        <f t="shared" si="102"/>
        <v>365.78682316343765</v>
      </c>
      <c r="F1343" s="62" t="str">
        <f t="shared" si="103"/>
        <v/>
      </c>
    </row>
    <row r="1344" spans="1:6">
      <c r="A1344" s="60">
        <v>133900</v>
      </c>
      <c r="B1344" s="60">
        <f t="shared" si="101"/>
        <v>3659235</v>
      </c>
      <c r="C1344" s="60">
        <f t="shared" si="104"/>
        <v>3659235</v>
      </c>
      <c r="D1344" s="61">
        <f t="shared" si="100"/>
        <v>1</v>
      </c>
      <c r="E1344" s="64">
        <f t="shared" si="102"/>
        <v>365.92348927063972</v>
      </c>
      <c r="F1344" s="62" t="str">
        <f t="shared" si="103"/>
        <v/>
      </c>
    </row>
    <row r="1345" spans="1:6">
      <c r="A1345" s="60">
        <v>134000</v>
      </c>
      <c r="B1345" s="60">
        <f t="shared" si="101"/>
        <v>3660601</v>
      </c>
      <c r="C1345" s="60">
        <f t="shared" si="104"/>
        <v>3660601</v>
      </c>
      <c r="D1345" s="61">
        <f t="shared" si="100"/>
        <v>1</v>
      </c>
      <c r="E1345" s="64">
        <f t="shared" si="102"/>
        <v>366.06010435446251</v>
      </c>
      <c r="F1345" s="62" t="str">
        <f t="shared" si="103"/>
        <v/>
      </c>
    </row>
    <row r="1346" spans="1:6">
      <c r="A1346" s="60">
        <v>134100</v>
      </c>
      <c r="B1346" s="60">
        <f t="shared" si="101"/>
        <v>3661967</v>
      </c>
      <c r="C1346" s="60">
        <f t="shared" si="104"/>
        <v>3661967</v>
      </c>
      <c r="D1346" s="61">
        <f t="shared" si="100"/>
        <v>1</v>
      </c>
      <c r="E1346" s="64">
        <f t="shared" si="102"/>
        <v>366.19666847201108</v>
      </c>
      <c r="F1346" s="62" t="str">
        <f t="shared" si="103"/>
        <v/>
      </c>
    </row>
    <row r="1347" spans="1:6">
      <c r="A1347" s="60">
        <v>134200</v>
      </c>
      <c r="B1347" s="60">
        <f t="shared" si="101"/>
        <v>3663332</v>
      </c>
      <c r="C1347" s="60">
        <f t="shared" si="104"/>
        <v>3663332</v>
      </c>
      <c r="D1347" s="61">
        <f t="shared" si="100"/>
        <v>1</v>
      </c>
      <c r="E1347" s="64">
        <f t="shared" si="102"/>
        <v>366.33318168028404</v>
      </c>
      <c r="F1347" s="62" t="str">
        <f t="shared" si="103"/>
        <v/>
      </c>
    </row>
    <row r="1348" spans="1:6">
      <c r="A1348" s="60">
        <v>134300</v>
      </c>
      <c r="B1348" s="60">
        <f t="shared" si="101"/>
        <v>3664696</v>
      </c>
      <c r="C1348" s="60">
        <f t="shared" si="104"/>
        <v>3664696</v>
      </c>
      <c r="D1348" s="61">
        <f t="shared" si="100"/>
        <v>1</v>
      </c>
      <c r="E1348" s="64">
        <f t="shared" si="102"/>
        <v>366.46964403617386</v>
      </c>
      <c r="F1348" s="62" t="str">
        <f t="shared" si="103"/>
        <v/>
      </c>
    </row>
    <row r="1349" spans="1:6">
      <c r="A1349" s="60">
        <v>134400</v>
      </c>
      <c r="B1349" s="60">
        <f t="shared" si="101"/>
        <v>3666061</v>
      </c>
      <c r="C1349" s="60">
        <f t="shared" si="104"/>
        <v>3666061</v>
      </c>
      <c r="D1349" s="61">
        <f t="shared" ref="D1349:D1412" si="105">(A1349-INDEX(兵力区间,MATCH(A1349,兵力区间,1)))/(INDEX(兵力区间,MATCH(A1349,兵力区间,1)+1)-INDEX(兵力区间,MATCH(A1349,兵力区间,1)))*((INDEX(兵力调节,MATCH(A1349,兵力区间,1)+1,2)-INDEX(兵力调节,MATCH(A1349,兵力区间,1),2)))+INDEX(兵力调节,MATCH(A1349,兵力区间,1),2)</f>
        <v>1</v>
      </c>
      <c r="E1349" s="64">
        <f t="shared" si="102"/>
        <v>366.60605559646717</v>
      </c>
      <c r="F1349" s="62" t="str">
        <f t="shared" si="103"/>
        <v/>
      </c>
    </row>
    <row r="1350" spans="1:6">
      <c r="A1350" s="60">
        <v>134500</v>
      </c>
      <c r="B1350" s="60">
        <f t="shared" si="101"/>
        <v>3667424</v>
      </c>
      <c r="C1350" s="60">
        <f t="shared" si="104"/>
        <v>3667424</v>
      </c>
      <c r="D1350" s="61">
        <f t="shared" si="105"/>
        <v>1</v>
      </c>
      <c r="E1350" s="64">
        <f t="shared" si="102"/>
        <v>366.74241641784499</v>
      </c>
      <c r="F1350" s="62" t="str">
        <f t="shared" si="103"/>
        <v/>
      </c>
    </row>
    <row r="1351" spans="1:6">
      <c r="A1351" s="60">
        <v>134600</v>
      </c>
      <c r="B1351" s="60">
        <f t="shared" ref="B1351:B1414" si="106">ROUND(D1351*E1351*10000,0)</f>
        <v>3668787</v>
      </c>
      <c r="C1351" s="60">
        <f t="shared" si="104"/>
        <v>3668787</v>
      </c>
      <c r="D1351" s="61">
        <f t="shared" si="105"/>
        <v>1</v>
      </c>
      <c r="E1351" s="64">
        <f t="shared" ref="E1351:E1414" si="107">A1351^0.5</f>
        <v>366.87872655688284</v>
      </c>
      <c r="F1351" s="62" t="str">
        <f t="shared" si="103"/>
        <v/>
      </c>
    </row>
    <row r="1352" spans="1:6">
      <c r="A1352" s="60">
        <v>134700</v>
      </c>
      <c r="B1352" s="60">
        <f t="shared" si="106"/>
        <v>3670150</v>
      </c>
      <c r="C1352" s="60">
        <f t="shared" si="104"/>
        <v>3670150</v>
      </c>
      <c r="D1352" s="61">
        <f t="shared" si="105"/>
        <v>1</v>
      </c>
      <c r="E1352" s="64">
        <f t="shared" si="107"/>
        <v>367.01498607005135</v>
      </c>
      <c r="F1352" s="62" t="str">
        <f t="shared" ref="F1352:F1415" si="108">IF(B1352&lt;B1351,1,"")</f>
        <v/>
      </c>
    </row>
    <row r="1353" spans="1:6">
      <c r="A1353" s="60">
        <v>134800</v>
      </c>
      <c r="B1353" s="60">
        <f t="shared" si="106"/>
        <v>3671512</v>
      </c>
      <c r="C1353" s="60">
        <f t="shared" si="104"/>
        <v>3671512</v>
      </c>
      <c r="D1353" s="61">
        <f t="shared" si="105"/>
        <v>1</v>
      </c>
      <c r="E1353" s="64">
        <f t="shared" si="107"/>
        <v>367.1511950137164</v>
      </c>
      <c r="F1353" s="62" t="str">
        <f t="shared" si="108"/>
        <v/>
      </c>
    </row>
    <row r="1354" spans="1:6">
      <c r="A1354" s="60">
        <v>134900</v>
      </c>
      <c r="B1354" s="60">
        <f t="shared" si="106"/>
        <v>3672874</v>
      </c>
      <c r="C1354" s="60">
        <f t="shared" si="104"/>
        <v>3672874</v>
      </c>
      <c r="D1354" s="61">
        <f t="shared" si="105"/>
        <v>1</v>
      </c>
      <c r="E1354" s="64">
        <f t="shared" si="107"/>
        <v>367.28735344413917</v>
      </c>
      <c r="F1354" s="62" t="str">
        <f t="shared" si="108"/>
        <v/>
      </c>
    </row>
    <row r="1355" spans="1:6">
      <c r="A1355" s="60">
        <v>135000</v>
      </c>
      <c r="B1355" s="60">
        <f t="shared" si="106"/>
        <v>3674235</v>
      </c>
      <c r="C1355" s="60">
        <f t="shared" ref="C1355:C1418" si="109">ROUND(D1355*E1355*10000,0)</f>
        <v>3674235</v>
      </c>
      <c r="D1355" s="61">
        <f t="shared" si="105"/>
        <v>1</v>
      </c>
      <c r="E1355" s="64">
        <f t="shared" si="107"/>
        <v>367.42346141747669</v>
      </c>
      <c r="F1355" s="62" t="str">
        <f t="shared" si="108"/>
        <v/>
      </c>
    </row>
    <row r="1356" spans="1:6">
      <c r="A1356" s="60">
        <v>135100</v>
      </c>
      <c r="B1356" s="60">
        <f t="shared" si="106"/>
        <v>3675595</v>
      </c>
      <c r="C1356" s="60">
        <f t="shared" si="109"/>
        <v>3675595</v>
      </c>
      <c r="D1356" s="61">
        <f t="shared" si="105"/>
        <v>1</v>
      </c>
      <c r="E1356" s="64">
        <f t="shared" si="107"/>
        <v>367.55951898978213</v>
      </c>
      <c r="F1356" s="62" t="str">
        <f t="shared" si="108"/>
        <v/>
      </c>
    </row>
    <row r="1357" spans="1:6">
      <c r="A1357" s="60">
        <v>135200</v>
      </c>
      <c r="B1357" s="60">
        <f t="shared" si="106"/>
        <v>3676955</v>
      </c>
      <c r="C1357" s="60">
        <f t="shared" si="109"/>
        <v>3676955</v>
      </c>
      <c r="D1357" s="61">
        <f t="shared" si="105"/>
        <v>1</v>
      </c>
      <c r="E1357" s="64">
        <f t="shared" si="107"/>
        <v>367.69552621700473</v>
      </c>
      <c r="F1357" s="62" t="str">
        <f t="shared" si="108"/>
        <v/>
      </c>
    </row>
    <row r="1358" spans="1:6">
      <c r="A1358" s="60">
        <v>135300</v>
      </c>
      <c r="B1358" s="60">
        <f t="shared" si="106"/>
        <v>3678315</v>
      </c>
      <c r="C1358" s="60">
        <f t="shared" si="109"/>
        <v>3678315</v>
      </c>
      <c r="D1358" s="61">
        <f t="shared" si="105"/>
        <v>1</v>
      </c>
      <c r="E1358" s="64">
        <f t="shared" si="107"/>
        <v>367.83148315499039</v>
      </c>
      <c r="F1358" s="62" t="str">
        <f t="shared" si="108"/>
        <v/>
      </c>
    </row>
    <row r="1359" spans="1:6">
      <c r="A1359" s="60">
        <v>135400</v>
      </c>
      <c r="B1359" s="60">
        <f t="shared" si="106"/>
        <v>3679674</v>
      </c>
      <c r="C1359" s="60">
        <f t="shared" si="109"/>
        <v>3679674</v>
      </c>
      <c r="D1359" s="61">
        <f t="shared" si="105"/>
        <v>1</v>
      </c>
      <c r="E1359" s="64">
        <f t="shared" si="107"/>
        <v>367.96738985948195</v>
      </c>
      <c r="F1359" s="62" t="str">
        <f t="shared" si="108"/>
        <v/>
      </c>
    </row>
    <row r="1360" spans="1:6">
      <c r="A1360" s="60">
        <v>135500</v>
      </c>
      <c r="B1360" s="60">
        <f t="shared" si="106"/>
        <v>3681032</v>
      </c>
      <c r="C1360" s="60">
        <f t="shared" si="109"/>
        <v>3681032</v>
      </c>
      <c r="D1360" s="61">
        <f t="shared" si="105"/>
        <v>1</v>
      </c>
      <c r="E1360" s="64">
        <f t="shared" si="107"/>
        <v>368.10324638611922</v>
      </c>
      <c r="F1360" s="62" t="str">
        <f t="shared" si="108"/>
        <v/>
      </c>
    </row>
    <row r="1361" spans="1:6">
      <c r="A1361" s="60">
        <v>135600</v>
      </c>
      <c r="B1361" s="60">
        <f t="shared" si="106"/>
        <v>3682391</v>
      </c>
      <c r="C1361" s="60">
        <f t="shared" si="109"/>
        <v>3682391</v>
      </c>
      <c r="D1361" s="61">
        <f t="shared" si="105"/>
        <v>1</v>
      </c>
      <c r="E1361" s="64">
        <f t="shared" si="107"/>
        <v>368.23905279043936</v>
      </c>
      <c r="F1361" s="62" t="str">
        <f t="shared" si="108"/>
        <v/>
      </c>
    </row>
    <row r="1362" spans="1:6">
      <c r="A1362" s="60">
        <v>135700</v>
      </c>
      <c r="B1362" s="60">
        <f t="shared" si="106"/>
        <v>3683748</v>
      </c>
      <c r="C1362" s="60">
        <f t="shared" si="109"/>
        <v>3683748</v>
      </c>
      <c r="D1362" s="61">
        <f t="shared" si="105"/>
        <v>1</v>
      </c>
      <c r="E1362" s="64">
        <f t="shared" si="107"/>
        <v>368.37480912787726</v>
      </c>
      <c r="F1362" s="62" t="str">
        <f t="shared" si="108"/>
        <v/>
      </c>
    </row>
    <row r="1363" spans="1:6">
      <c r="A1363" s="60">
        <v>135800</v>
      </c>
      <c r="B1363" s="60">
        <f t="shared" si="106"/>
        <v>3685105</v>
      </c>
      <c r="C1363" s="60">
        <f t="shared" si="109"/>
        <v>3685105</v>
      </c>
      <c r="D1363" s="61">
        <f t="shared" si="105"/>
        <v>1</v>
      </c>
      <c r="E1363" s="64">
        <f t="shared" si="107"/>
        <v>368.51051545376561</v>
      </c>
      <c r="F1363" s="62" t="str">
        <f t="shared" si="108"/>
        <v/>
      </c>
    </row>
    <row r="1364" spans="1:6">
      <c r="A1364" s="60">
        <v>135900</v>
      </c>
      <c r="B1364" s="60">
        <f t="shared" si="106"/>
        <v>3686462</v>
      </c>
      <c r="C1364" s="60">
        <f t="shared" si="109"/>
        <v>3686462</v>
      </c>
      <c r="D1364" s="61">
        <f t="shared" si="105"/>
        <v>1</v>
      </c>
      <c r="E1364" s="64">
        <f t="shared" si="107"/>
        <v>368.64617182333524</v>
      </c>
      <c r="F1364" s="62" t="str">
        <f t="shared" si="108"/>
        <v/>
      </c>
    </row>
    <row r="1365" spans="1:6">
      <c r="A1365" s="60">
        <v>136000</v>
      </c>
      <c r="B1365" s="60">
        <f t="shared" si="106"/>
        <v>3687818</v>
      </c>
      <c r="C1365" s="60">
        <f t="shared" si="109"/>
        <v>3687818</v>
      </c>
      <c r="D1365" s="61">
        <f t="shared" si="105"/>
        <v>1</v>
      </c>
      <c r="E1365" s="64">
        <f t="shared" si="107"/>
        <v>368.78177829171551</v>
      </c>
      <c r="F1365" s="62" t="str">
        <f t="shared" si="108"/>
        <v/>
      </c>
    </row>
    <row r="1366" spans="1:6">
      <c r="A1366" s="60">
        <v>136100</v>
      </c>
      <c r="B1366" s="60">
        <f t="shared" si="106"/>
        <v>3689173</v>
      </c>
      <c r="C1366" s="60">
        <f t="shared" si="109"/>
        <v>3689173</v>
      </c>
      <c r="D1366" s="61">
        <f t="shared" si="105"/>
        <v>1</v>
      </c>
      <c r="E1366" s="64">
        <f t="shared" si="107"/>
        <v>368.91733491393433</v>
      </c>
      <c r="F1366" s="62" t="str">
        <f t="shared" si="108"/>
        <v/>
      </c>
    </row>
    <row r="1367" spans="1:6">
      <c r="A1367" s="60">
        <v>136200</v>
      </c>
      <c r="B1367" s="60">
        <f t="shared" si="106"/>
        <v>3690528</v>
      </c>
      <c r="C1367" s="60">
        <f t="shared" si="109"/>
        <v>3690528</v>
      </c>
      <c r="D1367" s="61">
        <f t="shared" si="105"/>
        <v>1</v>
      </c>
      <c r="E1367" s="64">
        <f t="shared" si="107"/>
        <v>369.05284174491868</v>
      </c>
      <c r="F1367" s="62" t="str">
        <f t="shared" si="108"/>
        <v/>
      </c>
    </row>
    <row r="1368" spans="1:6">
      <c r="A1368" s="60">
        <v>136300</v>
      </c>
      <c r="B1368" s="60">
        <f t="shared" si="106"/>
        <v>3691883</v>
      </c>
      <c r="C1368" s="60">
        <f t="shared" si="109"/>
        <v>3691883</v>
      </c>
      <c r="D1368" s="61">
        <f t="shared" si="105"/>
        <v>1</v>
      </c>
      <c r="E1368" s="64">
        <f t="shared" si="107"/>
        <v>369.18829883949462</v>
      </c>
      <c r="F1368" s="62" t="str">
        <f t="shared" si="108"/>
        <v/>
      </c>
    </row>
    <row r="1369" spans="1:6">
      <c r="A1369" s="60">
        <v>136400</v>
      </c>
      <c r="B1369" s="60">
        <f t="shared" si="106"/>
        <v>3693237</v>
      </c>
      <c r="C1369" s="60">
        <f t="shared" si="109"/>
        <v>3693237</v>
      </c>
      <c r="D1369" s="61">
        <f t="shared" si="105"/>
        <v>1</v>
      </c>
      <c r="E1369" s="64">
        <f t="shared" si="107"/>
        <v>369.32370625238775</v>
      </c>
      <c r="F1369" s="62" t="str">
        <f t="shared" si="108"/>
        <v/>
      </c>
    </row>
    <row r="1370" spans="1:6">
      <c r="A1370" s="60">
        <v>136500</v>
      </c>
      <c r="B1370" s="60">
        <f t="shared" si="106"/>
        <v>3694591</v>
      </c>
      <c r="C1370" s="60">
        <f t="shared" si="109"/>
        <v>3694591</v>
      </c>
      <c r="D1370" s="61">
        <f t="shared" si="105"/>
        <v>1</v>
      </c>
      <c r="E1370" s="64">
        <f t="shared" si="107"/>
        <v>369.45906403822335</v>
      </c>
      <c r="F1370" s="62" t="str">
        <f t="shared" si="108"/>
        <v/>
      </c>
    </row>
    <row r="1371" spans="1:6">
      <c r="A1371" s="60">
        <v>136600</v>
      </c>
      <c r="B1371" s="60">
        <f t="shared" si="106"/>
        <v>3695944</v>
      </c>
      <c r="C1371" s="60">
        <f t="shared" si="109"/>
        <v>3695944</v>
      </c>
      <c r="D1371" s="61">
        <f t="shared" si="105"/>
        <v>1</v>
      </c>
      <c r="E1371" s="64">
        <f t="shared" si="107"/>
        <v>369.59437225152658</v>
      </c>
      <c r="F1371" s="62" t="str">
        <f t="shared" si="108"/>
        <v/>
      </c>
    </row>
    <row r="1372" spans="1:6">
      <c r="A1372" s="60">
        <v>136700</v>
      </c>
      <c r="B1372" s="60">
        <f t="shared" si="106"/>
        <v>3697296</v>
      </c>
      <c r="C1372" s="60">
        <f t="shared" si="109"/>
        <v>3697296</v>
      </c>
      <c r="D1372" s="61">
        <f t="shared" si="105"/>
        <v>1</v>
      </c>
      <c r="E1372" s="64">
        <f t="shared" si="107"/>
        <v>369.72963094672303</v>
      </c>
      <c r="F1372" s="62" t="str">
        <f t="shared" si="108"/>
        <v/>
      </c>
    </row>
    <row r="1373" spans="1:6">
      <c r="A1373" s="60">
        <v>136800</v>
      </c>
      <c r="B1373" s="60">
        <f t="shared" si="106"/>
        <v>3698648</v>
      </c>
      <c r="C1373" s="60">
        <f t="shared" si="109"/>
        <v>3698648</v>
      </c>
      <c r="D1373" s="61">
        <f t="shared" si="105"/>
        <v>1</v>
      </c>
      <c r="E1373" s="64">
        <f t="shared" si="107"/>
        <v>369.86484017813859</v>
      </c>
      <c r="F1373" s="62" t="str">
        <f t="shared" si="108"/>
        <v/>
      </c>
    </row>
    <row r="1374" spans="1:6">
      <c r="A1374" s="60">
        <v>136900</v>
      </c>
      <c r="B1374" s="60">
        <f t="shared" si="106"/>
        <v>3700000</v>
      </c>
      <c r="C1374" s="60">
        <f t="shared" si="109"/>
        <v>3700000</v>
      </c>
      <c r="D1374" s="61">
        <f t="shared" si="105"/>
        <v>1</v>
      </c>
      <c r="E1374" s="64">
        <f t="shared" si="107"/>
        <v>370</v>
      </c>
      <c r="F1374" s="62" t="str">
        <f t="shared" si="108"/>
        <v/>
      </c>
    </row>
    <row r="1375" spans="1:6">
      <c r="A1375" s="60">
        <v>137000</v>
      </c>
      <c r="B1375" s="60">
        <f t="shared" si="106"/>
        <v>3701351</v>
      </c>
      <c r="C1375" s="60">
        <f t="shared" si="109"/>
        <v>3701351</v>
      </c>
      <c r="D1375" s="61">
        <f t="shared" si="105"/>
        <v>1</v>
      </c>
      <c r="E1375" s="64">
        <f t="shared" si="107"/>
        <v>370.13511046643492</v>
      </c>
      <c r="F1375" s="62" t="str">
        <f t="shared" si="108"/>
        <v/>
      </c>
    </row>
    <row r="1376" spans="1:6">
      <c r="A1376" s="60">
        <v>137100</v>
      </c>
      <c r="B1376" s="60">
        <f t="shared" si="106"/>
        <v>3702702</v>
      </c>
      <c r="C1376" s="60">
        <f t="shared" si="109"/>
        <v>3702702</v>
      </c>
      <c r="D1376" s="61">
        <f t="shared" si="105"/>
        <v>1</v>
      </c>
      <c r="E1376" s="64">
        <f t="shared" si="107"/>
        <v>370.27017163147235</v>
      </c>
      <c r="F1376" s="62" t="str">
        <f t="shared" si="108"/>
        <v/>
      </c>
    </row>
    <row r="1377" spans="1:6">
      <c r="A1377" s="60">
        <v>137200</v>
      </c>
      <c r="B1377" s="60">
        <f t="shared" si="106"/>
        <v>3704052</v>
      </c>
      <c r="C1377" s="60">
        <f t="shared" si="109"/>
        <v>3704052</v>
      </c>
      <c r="D1377" s="61">
        <f t="shared" si="105"/>
        <v>1</v>
      </c>
      <c r="E1377" s="64">
        <f t="shared" si="107"/>
        <v>370.4051835490427</v>
      </c>
      <c r="F1377" s="62" t="str">
        <f t="shared" si="108"/>
        <v/>
      </c>
    </row>
    <row r="1378" spans="1:6">
      <c r="A1378" s="60">
        <v>137300</v>
      </c>
      <c r="B1378" s="60">
        <f t="shared" si="106"/>
        <v>3705401</v>
      </c>
      <c r="C1378" s="60">
        <f t="shared" si="109"/>
        <v>3705401</v>
      </c>
      <c r="D1378" s="61">
        <f t="shared" si="105"/>
        <v>1</v>
      </c>
      <c r="E1378" s="64">
        <f t="shared" si="107"/>
        <v>370.54014627297812</v>
      </c>
      <c r="F1378" s="62" t="str">
        <f t="shared" si="108"/>
        <v/>
      </c>
    </row>
    <row r="1379" spans="1:6">
      <c r="A1379" s="60">
        <v>137400</v>
      </c>
      <c r="B1379" s="60">
        <f t="shared" si="106"/>
        <v>3706751</v>
      </c>
      <c r="C1379" s="60">
        <f t="shared" si="109"/>
        <v>3706751</v>
      </c>
      <c r="D1379" s="61">
        <f t="shared" si="105"/>
        <v>1</v>
      </c>
      <c r="E1379" s="64">
        <f t="shared" si="107"/>
        <v>370.6750598570128</v>
      </c>
      <c r="F1379" s="62" t="str">
        <f t="shared" si="108"/>
        <v/>
      </c>
    </row>
    <row r="1380" spans="1:6">
      <c r="A1380" s="60">
        <v>137500</v>
      </c>
      <c r="B1380" s="60">
        <f t="shared" si="106"/>
        <v>3708099</v>
      </c>
      <c r="C1380" s="60">
        <f t="shared" si="109"/>
        <v>3708099</v>
      </c>
      <c r="D1380" s="61">
        <f t="shared" si="105"/>
        <v>1</v>
      </c>
      <c r="E1380" s="64">
        <f t="shared" si="107"/>
        <v>370.80992435478316</v>
      </c>
      <c r="F1380" s="62" t="str">
        <f t="shared" si="108"/>
        <v/>
      </c>
    </row>
    <row r="1381" spans="1:6">
      <c r="A1381" s="60">
        <v>137600</v>
      </c>
      <c r="B1381" s="60">
        <f t="shared" si="106"/>
        <v>3709447</v>
      </c>
      <c r="C1381" s="60">
        <f t="shared" si="109"/>
        <v>3709447</v>
      </c>
      <c r="D1381" s="61">
        <f t="shared" si="105"/>
        <v>1</v>
      </c>
      <c r="E1381" s="64">
        <f t="shared" si="107"/>
        <v>370.94473981982816</v>
      </c>
      <c r="F1381" s="62" t="str">
        <f t="shared" si="108"/>
        <v/>
      </c>
    </row>
    <row r="1382" spans="1:6">
      <c r="A1382" s="60">
        <v>137700</v>
      </c>
      <c r="B1382" s="60">
        <f t="shared" si="106"/>
        <v>3710795</v>
      </c>
      <c r="C1382" s="60">
        <f t="shared" si="109"/>
        <v>3710795</v>
      </c>
      <c r="D1382" s="61">
        <f t="shared" si="105"/>
        <v>1</v>
      </c>
      <c r="E1382" s="64">
        <f t="shared" si="107"/>
        <v>371.07950630558946</v>
      </c>
      <c r="F1382" s="62" t="str">
        <f t="shared" si="108"/>
        <v/>
      </c>
    </row>
    <row r="1383" spans="1:6">
      <c r="A1383" s="60">
        <v>137800</v>
      </c>
      <c r="B1383" s="60">
        <f t="shared" si="106"/>
        <v>3712142</v>
      </c>
      <c r="C1383" s="60">
        <f t="shared" si="109"/>
        <v>3712142</v>
      </c>
      <c r="D1383" s="61">
        <f t="shared" si="105"/>
        <v>1</v>
      </c>
      <c r="E1383" s="64">
        <f t="shared" si="107"/>
        <v>371.21422386541173</v>
      </c>
      <c r="F1383" s="62" t="str">
        <f t="shared" si="108"/>
        <v/>
      </c>
    </row>
    <row r="1384" spans="1:6">
      <c r="A1384" s="60">
        <v>137900</v>
      </c>
      <c r="B1384" s="60">
        <f t="shared" si="106"/>
        <v>3713489</v>
      </c>
      <c r="C1384" s="60">
        <f t="shared" si="109"/>
        <v>3713489</v>
      </c>
      <c r="D1384" s="61">
        <f t="shared" si="105"/>
        <v>1</v>
      </c>
      <c r="E1384" s="64">
        <f t="shared" si="107"/>
        <v>371.34889255254285</v>
      </c>
      <c r="F1384" s="62" t="str">
        <f t="shared" si="108"/>
        <v/>
      </c>
    </row>
    <row r="1385" spans="1:6">
      <c r="A1385" s="60">
        <v>138000</v>
      </c>
      <c r="B1385" s="60">
        <f t="shared" si="106"/>
        <v>3714835</v>
      </c>
      <c r="C1385" s="60">
        <f t="shared" si="109"/>
        <v>3714835</v>
      </c>
      <c r="D1385" s="61">
        <f t="shared" si="105"/>
        <v>1</v>
      </c>
      <c r="E1385" s="64">
        <f t="shared" si="107"/>
        <v>371.48351242013422</v>
      </c>
      <c r="F1385" s="62" t="str">
        <f t="shared" si="108"/>
        <v/>
      </c>
    </row>
    <row r="1386" spans="1:6">
      <c r="A1386" s="60">
        <v>138100</v>
      </c>
      <c r="B1386" s="60">
        <f t="shared" si="106"/>
        <v>3716181</v>
      </c>
      <c r="C1386" s="60">
        <f t="shared" si="109"/>
        <v>3716181</v>
      </c>
      <c r="D1386" s="61">
        <f t="shared" si="105"/>
        <v>1</v>
      </c>
      <c r="E1386" s="64">
        <f t="shared" si="107"/>
        <v>371.61808352124092</v>
      </c>
      <c r="F1386" s="62" t="str">
        <f t="shared" si="108"/>
        <v/>
      </c>
    </row>
    <row r="1387" spans="1:6">
      <c r="A1387" s="60">
        <v>138200</v>
      </c>
      <c r="B1387" s="60">
        <f t="shared" si="106"/>
        <v>3717526</v>
      </c>
      <c r="C1387" s="60">
        <f t="shared" si="109"/>
        <v>3717526</v>
      </c>
      <c r="D1387" s="61">
        <f t="shared" si="105"/>
        <v>1</v>
      </c>
      <c r="E1387" s="64">
        <f t="shared" si="107"/>
        <v>371.75260590882209</v>
      </c>
      <c r="F1387" s="62" t="str">
        <f t="shared" si="108"/>
        <v/>
      </c>
    </row>
    <row r="1388" spans="1:6">
      <c r="A1388" s="60">
        <v>138300</v>
      </c>
      <c r="B1388" s="60">
        <f t="shared" si="106"/>
        <v>3718871</v>
      </c>
      <c r="C1388" s="60">
        <f t="shared" si="109"/>
        <v>3718871</v>
      </c>
      <c r="D1388" s="61">
        <f t="shared" si="105"/>
        <v>1</v>
      </c>
      <c r="E1388" s="64">
        <f t="shared" si="107"/>
        <v>371.88707963574103</v>
      </c>
      <c r="F1388" s="62" t="str">
        <f t="shared" si="108"/>
        <v/>
      </c>
    </row>
    <row r="1389" spans="1:6">
      <c r="A1389" s="60">
        <v>138400</v>
      </c>
      <c r="B1389" s="60">
        <f t="shared" si="106"/>
        <v>3720215</v>
      </c>
      <c r="C1389" s="60">
        <f t="shared" si="109"/>
        <v>3720215</v>
      </c>
      <c r="D1389" s="61">
        <f t="shared" si="105"/>
        <v>1</v>
      </c>
      <c r="E1389" s="64">
        <f t="shared" si="107"/>
        <v>372.02150475476549</v>
      </c>
      <c r="F1389" s="62" t="str">
        <f t="shared" si="108"/>
        <v/>
      </c>
    </row>
    <row r="1390" spans="1:6">
      <c r="A1390" s="60">
        <v>138500</v>
      </c>
      <c r="B1390" s="60">
        <f t="shared" si="106"/>
        <v>3721559</v>
      </c>
      <c r="C1390" s="60">
        <f t="shared" si="109"/>
        <v>3721559</v>
      </c>
      <c r="D1390" s="61">
        <f t="shared" si="105"/>
        <v>1</v>
      </c>
      <c r="E1390" s="64">
        <f t="shared" si="107"/>
        <v>372.15588131856788</v>
      </c>
      <c r="F1390" s="62" t="str">
        <f t="shared" si="108"/>
        <v/>
      </c>
    </row>
    <row r="1391" spans="1:6">
      <c r="A1391" s="60">
        <v>138600</v>
      </c>
      <c r="B1391" s="60">
        <f t="shared" si="106"/>
        <v>3722902</v>
      </c>
      <c r="C1391" s="60">
        <f t="shared" si="109"/>
        <v>3722902</v>
      </c>
      <c r="D1391" s="61">
        <f t="shared" si="105"/>
        <v>1</v>
      </c>
      <c r="E1391" s="64">
        <f t="shared" si="107"/>
        <v>372.2902093797257</v>
      </c>
      <c r="F1391" s="62" t="str">
        <f t="shared" si="108"/>
        <v/>
      </c>
    </row>
    <row r="1392" spans="1:6">
      <c r="A1392" s="60">
        <v>138700</v>
      </c>
      <c r="B1392" s="60">
        <f t="shared" si="106"/>
        <v>3724245</v>
      </c>
      <c r="C1392" s="60">
        <f t="shared" si="109"/>
        <v>3724245</v>
      </c>
      <c r="D1392" s="61">
        <f t="shared" si="105"/>
        <v>1</v>
      </c>
      <c r="E1392" s="64">
        <f t="shared" si="107"/>
        <v>372.42448899072144</v>
      </c>
      <c r="F1392" s="62" t="str">
        <f t="shared" si="108"/>
        <v/>
      </c>
    </row>
    <row r="1393" spans="1:6">
      <c r="A1393" s="60">
        <v>138800</v>
      </c>
      <c r="B1393" s="60">
        <f t="shared" si="106"/>
        <v>3725587</v>
      </c>
      <c r="C1393" s="60">
        <f t="shared" si="109"/>
        <v>3725587</v>
      </c>
      <c r="D1393" s="61">
        <f t="shared" si="105"/>
        <v>1</v>
      </c>
      <c r="E1393" s="64">
        <f t="shared" si="107"/>
        <v>372.55872020394315</v>
      </c>
      <c r="F1393" s="62" t="str">
        <f t="shared" si="108"/>
        <v/>
      </c>
    </row>
    <row r="1394" spans="1:6">
      <c r="A1394" s="60">
        <v>138900</v>
      </c>
      <c r="B1394" s="60">
        <f t="shared" si="106"/>
        <v>3726929</v>
      </c>
      <c r="C1394" s="60">
        <f t="shared" si="109"/>
        <v>3726929</v>
      </c>
      <c r="D1394" s="61">
        <f t="shared" si="105"/>
        <v>1</v>
      </c>
      <c r="E1394" s="64">
        <f t="shared" si="107"/>
        <v>372.6929030716845</v>
      </c>
      <c r="F1394" s="62" t="str">
        <f t="shared" si="108"/>
        <v/>
      </c>
    </row>
    <row r="1395" spans="1:6">
      <c r="A1395" s="60">
        <v>139000</v>
      </c>
      <c r="B1395" s="60">
        <f t="shared" si="106"/>
        <v>3728270</v>
      </c>
      <c r="C1395" s="60">
        <f t="shared" si="109"/>
        <v>3728270</v>
      </c>
      <c r="D1395" s="61">
        <f t="shared" si="105"/>
        <v>1</v>
      </c>
      <c r="E1395" s="64">
        <f t="shared" si="107"/>
        <v>372.82703764614496</v>
      </c>
      <c r="F1395" s="62" t="str">
        <f t="shared" si="108"/>
        <v/>
      </c>
    </row>
    <row r="1396" spans="1:6">
      <c r="A1396" s="60">
        <v>139100</v>
      </c>
      <c r="B1396" s="60">
        <f t="shared" si="106"/>
        <v>3729611</v>
      </c>
      <c r="C1396" s="60">
        <f t="shared" si="109"/>
        <v>3729611</v>
      </c>
      <c r="D1396" s="61">
        <f t="shared" si="105"/>
        <v>1</v>
      </c>
      <c r="E1396" s="64">
        <f t="shared" si="107"/>
        <v>372.96112397943034</v>
      </c>
      <c r="F1396" s="62" t="str">
        <f t="shared" si="108"/>
        <v/>
      </c>
    </row>
    <row r="1397" spans="1:6">
      <c r="A1397" s="60">
        <v>139200</v>
      </c>
      <c r="B1397" s="60">
        <f t="shared" si="106"/>
        <v>3730952</v>
      </c>
      <c r="C1397" s="60">
        <f t="shared" si="109"/>
        <v>3730952</v>
      </c>
      <c r="D1397" s="61">
        <f t="shared" si="105"/>
        <v>1</v>
      </c>
      <c r="E1397" s="64">
        <f t="shared" si="107"/>
        <v>373.0951621235526</v>
      </c>
      <c r="F1397" s="62" t="str">
        <f t="shared" si="108"/>
        <v/>
      </c>
    </row>
    <row r="1398" spans="1:6">
      <c r="A1398" s="60">
        <v>139300</v>
      </c>
      <c r="B1398" s="60">
        <f t="shared" si="106"/>
        <v>3732292</v>
      </c>
      <c r="C1398" s="60">
        <f t="shared" si="109"/>
        <v>3732292</v>
      </c>
      <c r="D1398" s="61">
        <f t="shared" si="105"/>
        <v>1</v>
      </c>
      <c r="E1398" s="64">
        <f t="shared" si="107"/>
        <v>373.22915213043046</v>
      </c>
      <c r="F1398" s="62" t="str">
        <f t="shared" si="108"/>
        <v/>
      </c>
    </row>
    <row r="1399" spans="1:6">
      <c r="A1399" s="60">
        <v>139400</v>
      </c>
      <c r="B1399" s="60">
        <f t="shared" si="106"/>
        <v>3733631</v>
      </c>
      <c r="C1399" s="60">
        <f t="shared" si="109"/>
        <v>3733631</v>
      </c>
      <c r="D1399" s="61">
        <f t="shared" si="105"/>
        <v>1</v>
      </c>
      <c r="E1399" s="64">
        <f t="shared" si="107"/>
        <v>373.36309405188939</v>
      </c>
      <c r="F1399" s="62" t="str">
        <f t="shared" si="108"/>
        <v/>
      </c>
    </row>
    <row r="1400" spans="1:6">
      <c r="A1400" s="60">
        <v>139500</v>
      </c>
      <c r="B1400" s="60">
        <f t="shared" si="106"/>
        <v>3734970</v>
      </c>
      <c r="C1400" s="60">
        <f t="shared" si="109"/>
        <v>3734970</v>
      </c>
      <c r="D1400" s="61">
        <f t="shared" si="105"/>
        <v>1</v>
      </c>
      <c r="E1400" s="64">
        <f t="shared" si="107"/>
        <v>373.49698793966195</v>
      </c>
      <c r="F1400" s="62" t="str">
        <f t="shared" si="108"/>
        <v/>
      </c>
    </row>
    <row r="1401" spans="1:6">
      <c r="A1401" s="60">
        <v>139600</v>
      </c>
      <c r="B1401" s="60">
        <f t="shared" si="106"/>
        <v>3736308</v>
      </c>
      <c r="C1401" s="60">
        <f t="shared" si="109"/>
        <v>3736308</v>
      </c>
      <c r="D1401" s="61">
        <f t="shared" si="105"/>
        <v>1</v>
      </c>
      <c r="E1401" s="64">
        <f t="shared" si="107"/>
        <v>373.63083384538811</v>
      </c>
      <c r="F1401" s="62" t="str">
        <f t="shared" si="108"/>
        <v/>
      </c>
    </row>
    <row r="1402" spans="1:6">
      <c r="A1402" s="60">
        <v>139700</v>
      </c>
      <c r="B1402" s="60">
        <f t="shared" si="106"/>
        <v>3737646</v>
      </c>
      <c r="C1402" s="60">
        <f t="shared" si="109"/>
        <v>3737646</v>
      </c>
      <c r="D1402" s="61">
        <f t="shared" si="105"/>
        <v>1</v>
      </c>
      <c r="E1402" s="64">
        <f t="shared" si="107"/>
        <v>373.76463182061514</v>
      </c>
      <c r="F1402" s="62" t="str">
        <f t="shared" si="108"/>
        <v/>
      </c>
    </row>
    <row r="1403" spans="1:6">
      <c r="A1403" s="60">
        <v>139800</v>
      </c>
      <c r="B1403" s="60">
        <f t="shared" si="106"/>
        <v>3738984</v>
      </c>
      <c r="C1403" s="60">
        <f t="shared" si="109"/>
        <v>3738984</v>
      </c>
      <c r="D1403" s="61">
        <f t="shared" si="105"/>
        <v>1</v>
      </c>
      <c r="E1403" s="64">
        <f t="shared" si="107"/>
        <v>373.89838191679837</v>
      </c>
      <c r="F1403" s="62" t="str">
        <f t="shared" si="108"/>
        <v/>
      </c>
    </row>
    <row r="1404" spans="1:6">
      <c r="A1404" s="60">
        <v>139900</v>
      </c>
      <c r="B1404" s="60">
        <f t="shared" si="106"/>
        <v>3740321</v>
      </c>
      <c r="C1404" s="60">
        <f t="shared" si="109"/>
        <v>3740321</v>
      </c>
      <c r="D1404" s="61">
        <f t="shared" si="105"/>
        <v>1</v>
      </c>
      <c r="E1404" s="64">
        <f t="shared" si="107"/>
        <v>374.03208418530085</v>
      </c>
      <c r="F1404" s="62" t="str">
        <f t="shared" si="108"/>
        <v/>
      </c>
    </row>
    <row r="1405" spans="1:6">
      <c r="A1405" s="60">
        <v>140000</v>
      </c>
      <c r="B1405" s="60">
        <f t="shared" si="106"/>
        <v>3741657</v>
      </c>
      <c r="C1405" s="60">
        <f t="shared" si="109"/>
        <v>3741657</v>
      </c>
      <c r="D1405" s="61">
        <f t="shared" si="105"/>
        <v>1</v>
      </c>
      <c r="E1405" s="64">
        <f t="shared" si="107"/>
        <v>374.16573867739413</v>
      </c>
      <c r="F1405" s="62" t="str">
        <f t="shared" si="108"/>
        <v/>
      </c>
    </row>
    <row r="1406" spans="1:6">
      <c r="A1406" s="60">
        <v>140100</v>
      </c>
      <c r="B1406" s="60">
        <f t="shared" si="106"/>
        <v>3742993</v>
      </c>
      <c r="C1406" s="60">
        <f t="shared" si="109"/>
        <v>3742993</v>
      </c>
      <c r="D1406" s="61">
        <f t="shared" si="105"/>
        <v>1</v>
      </c>
      <c r="E1406" s="64">
        <f t="shared" si="107"/>
        <v>374.29934544425805</v>
      </c>
      <c r="F1406" s="62" t="str">
        <f t="shared" si="108"/>
        <v/>
      </c>
    </row>
    <row r="1407" spans="1:6">
      <c r="A1407" s="60">
        <v>140200</v>
      </c>
      <c r="B1407" s="60">
        <f t="shared" si="106"/>
        <v>3744329</v>
      </c>
      <c r="C1407" s="60">
        <f t="shared" si="109"/>
        <v>3744329</v>
      </c>
      <c r="D1407" s="61">
        <f t="shared" si="105"/>
        <v>1</v>
      </c>
      <c r="E1407" s="64">
        <f t="shared" si="107"/>
        <v>374.43290453698108</v>
      </c>
      <c r="F1407" s="62" t="str">
        <f t="shared" si="108"/>
        <v/>
      </c>
    </row>
    <row r="1408" spans="1:6">
      <c r="A1408" s="60">
        <v>140300</v>
      </c>
      <c r="B1408" s="60">
        <f t="shared" si="106"/>
        <v>3745664</v>
      </c>
      <c r="C1408" s="60">
        <f t="shared" si="109"/>
        <v>3745664</v>
      </c>
      <c r="D1408" s="61">
        <f t="shared" si="105"/>
        <v>1</v>
      </c>
      <c r="E1408" s="64">
        <f t="shared" si="107"/>
        <v>374.56641600656087</v>
      </c>
      <c r="F1408" s="62" t="str">
        <f t="shared" si="108"/>
        <v/>
      </c>
    </row>
    <row r="1409" spans="1:6">
      <c r="A1409" s="60">
        <v>140400</v>
      </c>
      <c r="B1409" s="60">
        <f t="shared" si="106"/>
        <v>3746999</v>
      </c>
      <c r="C1409" s="60">
        <f t="shared" si="109"/>
        <v>3746999</v>
      </c>
      <c r="D1409" s="61">
        <f t="shared" si="105"/>
        <v>1</v>
      </c>
      <c r="E1409" s="64">
        <f t="shared" si="107"/>
        <v>374.69987990390388</v>
      </c>
      <c r="F1409" s="62" t="str">
        <f t="shared" si="108"/>
        <v/>
      </c>
    </row>
    <row r="1410" spans="1:6">
      <c r="A1410" s="60">
        <v>140500</v>
      </c>
      <c r="B1410" s="60">
        <f t="shared" si="106"/>
        <v>3748333</v>
      </c>
      <c r="C1410" s="60">
        <f t="shared" si="109"/>
        <v>3748333</v>
      </c>
      <c r="D1410" s="61">
        <f t="shared" si="105"/>
        <v>1</v>
      </c>
      <c r="E1410" s="64">
        <f t="shared" si="107"/>
        <v>374.83329627982624</v>
      </c>
      <c r="F1410" s="62" t="str">
        <f t="shared" si="108"/>
        <v/>
      </c>
    </row>
    <row r="1411" spans="1:6">
      <c r="A1411" s="60">
        <v>140600</v>
      </c>
      <c r="B1411" s="60">
        <f t="shared" si="106"/>
        <v>3749667</v>
      </c>
      <c r="C1411" s="60">
        <f t="shared" si="109"/>
        <v>3749667</v>
      </c>
      <c r="D1411" s="61">
        <f t="shared" si="105"/>
        <v>1</v>
      </c>
      <c r="E1411" s="64">
        <f t="shared" si="107"/>
        <v>374.9666651850535</v>
      </c>
      <c r="F1411" s="62" t="str">
        <f t="shared" si="108"/>
        <v/>
      </c>
    </row>
    <row r="1412" spans="1:6">
      <c r="A1412" s="60">
        <v>140700</v>
      </c>
      <c r="B1412" s="60">
        <f t="shared" si="106"/>
        <v>3751000</v>
      </c>
      <c r="C1412" s="60">
        <f t="shared" si="109"/>
        <v>3751000</v>
      </c>
      <c r="D1412" s="61">
        <f t="shared" si="105"/>
        <v>1</v>
      </c>
      <c r="E1412" s="64">
        <f t="shared" si="107"/>
        <v>375.09998667022103</v>
      </c>
      <c r="F1412" s="62" t="str">
        <f t="shared" si="108"/>
        <v/>
      </c>
    </row>
    <row r="1413" spans="1:6">
      <c r="A1413" s="60">
        <v>140800</v>
      </c>
      <c r="B1413" s="60">
        <f t="shared" si="106"/>
        <v>3752333</v>
      </c>
      <c r="C1413" s="60">
        <f t="shared" si="109"/>
        <v>3752333</v>
      </c>
      <c r="D1413" s="61">
        <f t="shared" ref="D1413:D1476" si="110">(A1413-INDEX(兵力区间,MATCH(A1413,兵力区间,1)))/(INDEX(兵力区间,MATCH(A1413,兵力区间,1)+1)-INDEX(兵力区间,MATCH(A1413,兵力区间,1)))*((INDEX(兵力调节,MATCH(A1413,兵力区间,1)+1,2)-INDEX(兵力调节,MATCH(A1413,兵力区间,1),2)))+INDEX(兵力调节,MATCH(A1413,兵力区间,1),2)</f>
        <v>1</v>
      </c>
      <c r="E1413" s="64">
        <f t="shared" si="107"/>
        <v>375.23326078587439</v>
      </c>
      <c r="F1413" s="62" t="str">
        <f t="shared" si="108"/>
        <v/>
      </c>
    </row>
    <row r="1414" spans="1:6">
      <c r="A1414" s="60">
        <v>140900</v>
      </c>
      <c r="B1414" s="60">
        <f t="shared" si="106"/>
        <v>3753665</v>
      </c>
      <c r="C1414" s="60">
        <f t="shared" si="109"/>
        <v>3753665</v>
      </c>
      <c r="D1414" s="61">
        <f t="shared" si="110"/>
        <v>1</v>
      </c>
      <c r="E1414" s="64">
        <f t="shared" si="107"/>
        <v>375.36648758246918</v>
      </c>
      <c r="F1414" s="62" t="str">
        <f t="shared" si="108"/>
        <v/>
      </c>
    </row>
    <row r="1415" spans="1:6">
      <c r="A1415" s="60">
        <v>141000</v>
      </c>
      <c r="B1415" s="60">
        <f t="shared" ref="B1415:B1478" si="111">ROUND(D1415*E1415*10000,0)</f>
        <v>3754997</v>
      </c>
      <c r="C1415" s="60">
        <f t="shared" si="109"/>
        <v>3754997</v>
      </c>
      <c r="D1415" s="61">
        <f t="shared" si="110"/>
        <v>1</v>
      </c>
      <c r="E1415" s="64">
        <f t="shared" ref="E1415:E1478" si="112">A1415^0.5</f>
        <v>375.49966711037177</v>
      </c>
      <c r="F1415" s="62" t="str">
        <f t="shared" si="108"/>
        <v/>
      </c>
    </row>
    <row r="1416" spans="1:6">
      <c r="A1416" s="60">
        <v>141100</v>
      </c>
      <c r="B1416" s="60">
        <f t="shared" si="111"/>
        <v>3756328</v>
      </c>
      <c r="C1416" s="60">
        <f t="shared" si="109"/>
        <v>3756328</v>
      </c>
      <c r="D1416" s="61">
        <f t="shared" si="110"/>
        <v>1</v>
      </c>
      <c r="E1416" s="64">
        <f t="shared" si="112"/>
        <v>375.63279941985894</v>
      </c>
      <c r="F1416" s="62" t="str">
        <f t="shared" ref="F1416:F1479" si="113">IF(B1416&lt;B1415,1,"")</f>
        <v/>
      </c>
    </row>
    <row r="1417" spans="1:6">
      <c r="A1417" s="60">
        <v>141200</v>
      </c>
      <c r="B1417" s="60">
        <f t="shared" si="111"/>
        <v>3757659</v>
      </c>
      <c r="C1417" s="60">
        <f t="shared" si="109"/>
        <v>3757659</v>
      </c>
      <c r="D1417" s="61">
        <f t="shared" si="110"/>
        <v>1</v>
      </c>
      <c r="E1417" s="64">
        <f t="shared" si="112"/>
        <v>375.7658845611187</v>
      </c>
      <c r="F1417" s="62" t="str">
        <f t="shared" si="113"/>
        <v/>
      </c>
    </row>
    <row r="1418" spans="1:6">
      <c r="A1418" s="60">
        <v>141300</v>
      </c>
      <c r="B1418" s="60">
        <f t="shared" si="111"/>
        <v>3758989</v>
      </c>
      <c r="C1418" s="60">
        <f t="shared" si="109"/>
        <v>3758989</v>
      </c>
      <c r="D1418" s="61">
        <f t="shared" si="110"/>
        <v>1</v>
      </c>
      <c r="E1418" s="64">
        <f t="shared" si="112"/>
        <v>375.89892258425004</v>
      </c>
      <c r="F1418" s="62" t="str">
        <f t="shared" si="113"/>
        <v/>
      </c>
    </row>
    <row r="1419" spans="1:6">
      <c r="A1419" s="60">
        <v>141400</v>
      </c>
      <c r="B1419" s="60">
        <f t="shared" si="111"/>
        <v>3760319</v>
      </c>
      <c r="C1419" s="60">
        <f t="shared" ref="C1419:C1482" si="114">ROUND(D1419*E1419*10000,0)</f>
        <v>3760319</v>
      </c>
      <c r="D1419" s="61">
        <f t="shared" si="110"/>
        <v>1</v>
      </c>
      <c r="E1419" s="64">
        <f t="shared" si="112"/>
        <v>376.03191353926331</v>
      </c>
      <c r="F1419" s="62" t="str">
        <f t="shared" si="113"/>
        <v/>
      </c>
    </row>
    <row r="1420" spans="1:6">
      <c r="A1420" s="60">
        <v>141500</v>
      </c>
      <c r="B1420" s="60">
        <f t="shared" si="111"/>
        <v>3761649</v>
      </c>
      <c r="C1420" s="60">
        <f t="shared" si="114"/>
        <v>3761649</v>
      </c>
      <c r="D1420" s="61">
        <f t="shared" si="110"/>
        <v>1</v>
      </c>
      <c r="E1420" s="64">
        <f t="shared" si="112"/>
        <v>376.16485747608056</v>
      </c>
      <c r="F1420" s="62" t="str">
        <f t="shared" si="113"/>
        <v/>
      </c>
    </row>
    <row r="1421" spans="1:6">
      <c r="A1421" s="60">
        <v>141600</v>
      </c>
      <c r="B1421" s="60">
        <f t="shared" si="111"/>
        <v>3762978</v>
      </c>
      <c r="C1421" s="60">
        <f t="shared" si="114"/>
        <v>3762978</v>
      </c>
      <c r="D1421" s="61">
        <f t="shared" si="110"/>
        <v>1</v>
      </c>
      <c r="E1421" s="64">
        <f t="shared" si="112"/>
        <v>376.2977544445356</v>
      </c>
      <c r="F1421" s="62" t="str">
        <f t="shared" si="113"/>
        <v/>
      </c>
    </row>
    <row r="1422" spans="1:6">
      <c r="A1422" s="60">
        <v>141700</v>
      </c>
      <c r="B1422" s="60">
        <f t="shared" si="111"/>
        <v>3764306</v>
      </c>
      <c r="C1422" s="60">
        <f t="shared" si="114"/>
        <v>3764306</v>
      </c>
      <c r="D1422" s="61">
        <f t="shared" si="110"/>
        <v>1</v>
      </c>
      <c r="E1422" s="64">
        <f t="shared" si="112"/>
        <v>376.43060449437422</v>
      </c>
      <c r="F1422" s="62" t="str">
        <f t="shared" si="113"/>
        <v/>
      </c>
    </row>
    <row r="1423" spans="1:6">
      <c r="A1423" s="60">
        <v>141800</v>
      </c>
      <c r="B1423" s="60">
        <f t="shared" si="111"/>
        <v>3765634</v>
      </c>
      <c r="C1423" s="60">
        <f t="shared" si="114"/>
        <v>3765634</v>
      </c>
      <c r="D1423" s="61">
        <f t="shared" si="110"/>
        <v>1</v>
      </c>
      <c r="E1423" s="64">
        <f t="shared" si="112"/>
        <v>376.56340767525461</v>
      </c>
      <c r="F1423" s="62" t="str">
        <f t="shared" si="113"/>
        <v/>
      </c>
    </row>
    <row r="1424" spans="1:6">
      <c r="A1424" s="60">
        <v>141900</v>
      </c>
      <c r="B1424" s="60">
        <f t="shared" si="111"/>
        <v>3766962</v>
      </c>
      <c r="C1424" s="60">
        <f t="shared" si="114"/>
        <v>3766962</v>
      </c>
      <c r="D1424" s="61">
        <f t="shared" si="110"/>
        <v>1</v>
      </c>
      <c r="E1424" s="64">
        <f t="shared" si="112"/>
        <v>376.69616403674723</v>
      </c>
      <c r="F1424" s="62" t="str">
        <f t="shared" si="113"/>
        <v/>
      </c>
    </row>
    <row r="1425" spans="1:6">
      <c r="A1425" s="60">
        <v>142000</v>
      </c>
      <c r="B1425" s="60">
        <f t="shared" si="111"/>
        <v>3768289</v>
      </c>
      <c r="C1425" s="60">
        <f t="shared" si="114"/>
        <v>3768289</v>
      </c>
      <c r="D1425" s="61">
        <f t="shared" si="110"/>
        <v>1</v>
      </c>
      <c r="E1425" s="64">
        <f t="shared" si="112"/>
        <v>376.82887362833543</v>
      </c>
      <c r="F1425" s="62" t="str">
        <f t="shared" si="113"/>
        <v/>
      </c>
    </row>
    <row r="1426" spans="1:6">
      <c r="A1426" s="60">
        <v>142100</v>
      </c>
      <c r="B1426" s="60">
        <f t="shared" si="111"/>
        <v>3769615</v>
      </c>
      <c r="C1426" s="60">
        <f t="shared" si="114"/>
        <v>3769615</v>
      </c>
      <c r="D1426" s="61">
        <f t="shared" si="110"/>
        <v>1</v>
      </c>
      <c r="E1426" s="64">
        <f t="shared" si="112"/>
        <v>376.96153649941527</v>
      </c>
      <c r="F1426" s="62" t="str">
        <f t="shared" si="113"/>
        <v/>
      </c>
    </row>
    <row r="1427" spans="1:6">
      <c r="A1427" s="60">
        <v>142200</v>
      </c>
      <c r="B1427" s="60">
        <f t="shared" si="111"/>
        <v>3770942</v>
      </c>
      <c r="C1427" s="60">
        <f t="shared" si="114"/>
        <v>3770942</v>
      </c>
      <c r="D1427" s="61">
        <f t="shared" si="110"/>
        <v>1</v>
      </c>
      <c r="E1427" s="64">
        <f t="shared" si="112"/>
        <v>377.09415269929605</v>
      </c>
      <c r="F1427" s="62" t="str">
        <f t="shared" si="113"/>
        <v/>
      </c>
    </row>
    <row r="1428" spans="1:6">
      <c r="A1428" s="60">
        <v>142300</v>
      </c>
      <c r="B1428" s="60">
        <f t="shared" si="111"/>
        <v>3772267</v>
      </c>
      <c r="C1428" s="60">
        <f t="shared" si="114"/>
        <v>3772267</v>
      </c>
      <c r="D1428" s="61">
        <f t="shared" si="110"/>
        <v>1</v>
      </c>
      <c r="E1428" s="64">
        <f t="shared" si="112"/>
        <v>377.22672227720028</v>
      </c>
      <c r="F1428" s="62" t="str">
        <f t="shared" si="113"/>
        <v/>
      </c>
    </row>
    <row r="1429" spans="1:6">
      <c r="A1429" s="60">
        <v>142400</v>
      </c>
      <c r="B1429" s="60">
        <f t="shared" si="111"/>
        <v>3773592</v>
      </c>
      <c r="C1429" s="60">
        <f t="shared" si="114"/>
        <v>3773592</v>
      </c>
      <c r="D1429" s="61">
        <f t="shared" si="110"/>
        <v>1</v>
      </c>
      <c r="E1429" s="64">
        <f t="shared" si="112"/>
        <v>377.35924528226417</v>
      </c>
      <c r="F1429" s="62" t="str">
        <f t="shared" si="113"/>
        <v/>
      </c>
    </row>
    <row r="1430" spans="1:6">
      <c r="A1430" s="60">
        <v>142500</v>
      </c>
      <c r="B1430" s="60">
        <f t="shared" si="111"/>
        <v>3774917</v>
      </c>
      <c r="C1430" s="60">
        <f t="shared" si="114"/>
        <v>3774917</v>
      </c>
      <c r="D1430" s="61">
        <f t="shared" si="110"/>
        <v>1</v>
      </c>
      <c r="E1430" s="64">
        <f t="shared" si="112"/>
        <v>377.4917217635375</v>
      </c>
      <c r="F1430" s="62" t="str">
        <f t="shared" si="113"/>
        <v/>
      </c>
    </row>
    <row r="1431" spans="1:6">
      <c r="A1431" s="60">
        <v>142600</v>
      </c>
      <c r="B1431" s="60">
        <f t="shared" si="111"/>
        <v>3776242</v>
      </c>
      <c r="C1431" s="60">
        <f t="shared" si="114"/>
        <v>3776242</v>
      </c>
      <c r="D1431" s="61">
        <f t="shared" si="110"/>
        <v>1</v>
      </c>
      <c r="E1431" s="64">
        <f t="shared" si="112"/>
        <v>377.62415176998411</v>
      </c>
      <c r="F1431" s="62" t="str">
        <f t="shared" si="113"/>
        <v/>
      </c>
    </row>
    <row r="1432" spans="1:6">
      <c r="A1432" s="60">
        <v>142700</v>
      </c>
      <c r="B1432" s="60">
        <f t="shared" si="111"/>
        <v>3777565</v>
      </c>
      <c r="C1432" s="60">
        <f t="shared" si="114"/>
        <v>3777565</v>
      </c>
      <c r="D1432" s="61">
        <f t="shared" si="110"/>
        <v>1</v>
      </c>
      <c r="E1432" s="64">
        <f t="shared" si="112"/>
        <v>377.75653535048207</v>
      </c>
      <c r="F1432" s="62" t="str">
        <f t="shared" si="113"/>
        <v/>
      </c>
    </row>
    <row r="1433" spans="1:6">
      <c r="A1433" s="60">
        <v>142800</v>
      </c>
      <c r="B1433" s="60">
        <f t="shared" si="111"/>
        <v>3778889</v>
      </c>
      <c r="C1433" s="60">
        <f t="shared" si="114"/>
        <v>3778889</v>
      </c>
      <c r="D1433" s="61">
        <f t="shared" si="110"/>
        <v>1</v>
      </c>
      <c r="E1433" s="64">
        <f t="shared" si="112"/>
        <v>377.88887255382366</v>
      </c>
      <c r="F1433" s="62" t="str">
        <f t="shared" si="113"/>
        <v/>
      </c>
    </row>
    <row r="1434" spans="1:6">
      <c r="A1434" s="60">
        <v>142900</v>
      </c>
      <c r="B1434" s="60">
        <f t="shared" si="111"/>
        <v>3780212</v>
      </c>
      <c r="C1434" s="60">
        <f t="shared" si="114"/>
        <v>3780212</v>
      </c>
      <c r="D1434" s="61">
        <f t="shared" si="110"/>
        <v>1</v>
      </c>
      <c r="E1434" s="64">
        <f t="shared" si="112"/>
        <v>378.02116342871597</v>
      </c>
      <c r="F1434" s="62" t="str">
        <f t="shared" si="113"/>
        <v/>
      </c>
    </row>
    <row r="1435" spans="1:6">
      <c r="A1435" s="60">
        <v>143000</v>
      </c>
      <c r="B1435" s="60">
        <f t="shared" si="111"/>
        <v>3781534</v>
      </c>
      <c r="C1435" s="60">
        <f t="shared" si="114"/>
        <v>3781534</v>
      </c>
      <c r="D1435" s="61">
        <f t="shared" si="110"/>
        <v>1</v>
      </c>
      <c r="E1435" s="64">
        <f t="shared" si="112"/>
        <v>378.15340802378074</v>
      </c>
      <c r="F1435" s="62" t="str">
        <f t="shared" si="113"/>
        <v/>
      </c>
    </row>
    <row r="1436" spans="1:6">
      <c r="A1436" s="60">
        <v>143100</v>
      </c>
      <c r="B1436" s="60">
        <f t="shared" si="111"/>
        <v>3782856</v>
      </c>
      <c r="C1436" s="60">
        <f t="shared" si="114"/>
        <v>3782856</v>
      </c>
      <c r="D1436" s="61">
        <f t="shared" si="110"/>
        <v>1</v>
      </c>
      <c r="E1436" s="64">
        <f t="shared" si="112"/>
        <v>378.28560638755476</v>
      </c>
      <c r="F1436" s="62" t="str">
        <f t="shared" si="113"/>
        <v/>
      </c>
    </row>
    <row r="1437" spans="1:6">
      <c r="A1437" s="60">
        <v>143200</v>
      </c>
      <c r="B1437" s="60">
        <f t="shared" si="111"/>
        <v>3784178</v>
      </c>
      <c r="C1437" s="60">
        <f t="shared" si="114"/>
        <v>3784178</v>
      </c>
      <c r="D1437" s="61">
        <f t="shared" si="110"/>
        <v>1</v>
      </c>
      <c r="E1437" s="64">
        <f t="shared" si="112"/>
        <v>378.41775856849</v>
      </c>
      <c r="F1437" s="62" t="str">
        <f t="shared" si="113"/>
        <v/>
      </c>
    </row>
    <row r="1438" spans="1:6">
      <c r="A1438" s="60">
        <v>143300</v>
      </c>
      <c r="B1438" s="60">
        <f t="shared" si="111"/>
        <v>3785499</v>
      </c>
      <c r="C1438" s="60">
        <f t="shared" si="114"/>
        <v>3785499</v>
      </c>
      <c r="D1438" s="61">
        <f t="shared" si="110"/>
        <v>1</v>
      </c>
      <c r="E1438" s="64">
        <f t="shared" si="112"/>
        <v>378.549864614954</v>
      </c>
      <c r="F1438" s="62" t="str">
        <f t="shared" si="113"/>
        <v/>
      </c>
    </row>
    <row r="1439" spans="1:6">
      <c r="A1439" s="60">
        <v>143400</v>
      </c>
      <c r="B1439" s="60">
        <f t="shared" si="111"/>
        <v>3786819</v>
      </c>
      <c r="C1439" s="60">
        <f t="shared" si="114"/>
        <v>3786819</v>
      </c>
      <c r="D1439" s="61">
        <f t="shared" si="110"/>
        <v>1</v>
      </c>
      <c r="E1439" s="64">
        <f t="shared" si="112"/>
        <v>378.68192457522974</v>
      </c>
      <c r="F1439" s="62" t="str">
        <f t="shared" si="113"/>
        <v/>
      </c>
    </row>
    <row r="1440" spans="1:6">
      <c r="A1440" s="60">
        <v>143500</v>
      </c>
      <c r="B1440" s="60">
        <f t="shared" si="111"/>
        <v>3788139</v>
      </c>
      <c r="C1440" s="60">
        <f t="shared" si="114"/>
        <v>3788139</v>
      </c>
      <c r="D1440" s="61">
        <f t="shared" si="110"/>
        <v>1</v>
      </c>
      <c r="E1440" s="64">
        <f t="shared" si="112"/>
        <v>378.81393849751623</v>
      </c>
      <c r="F1440" s="62" t="str">
        <f t="shared" si="113"/>
        <v/>
      </c>
    </row>
    <row r="1441" spans="1:6">
      <c r="A1441" s="60">
        <v>143600</v>
      </c>
      <c r="B1441" s="60">
        <f t="shared" si="111"/>
        <v>3789459</v>
      </c>
      <c r="C1441" s="60">
        <f t="shared" si="114"/>
        <v>3789459</v>
      </c>
      <c r="D1441" s="61">
        <f t="shared" si="110"/>
        <v>1</v>
      </c>
      <c r="E1441" s="64">
        <f t="shared" si="112"/>
        <v>378.94590642992836</v>
      </c>
      <c r="F1441" s="62" t="str">
        <f t="shared" si="113"/>
        <v/>
      </c>
    </row>
    <row r="1442" spans="1:6">
      <c r="A1442" s="60">
        <v>143700</v>
      </c>
      <c r="B1442" s="60">
        <f t="shared" si="111"/>
        <v>3790778</v>
      </c>
      <c r="C1442" s="60">
        <f t="shared" si="114"/>
        <v>3790778</v>
      </c>
      <c r="D1442" s="61">
        <f t="shared" si="110"/>
        <v>1</v>
      </c>
      <c r="E1442" s="64">
        <f t="shared" si="112"/>
        <v>379.07782842049733</v>
      </c>
      <c r="F1442" s="62" t="str">
        <f t="shared" si="113"/>
        <v/>
      </c>
    </row>
    <row r="1443" spans="1:6">
      <c r="A1443" s="60">
        <v>143800</v>
      </c>
      <c r="B1443" s="60">
        <f t="shared" si="111"/>
        <v>3792097</v>
      </c>
      <c r="C1443" s="60">
        <f t="shared" si="114"/>
        <v>3792097</v>
      </c>
      <c r="D1443" s="61">
        <f t="shared" si="110"/>
        <v>1</v>
      </c>
      <c r="E1443" s="64">
        <f t="shared" si="112"/>
        <v>379.20970451717079</v>
      </c>
      <c r="F1443" s="62" t="str">
        <f t="shared" si="113"/>
        <v/>
      </c>
    </row>
    <row r="1444" spans="1:6">
      <c r="A1444" s="60">
        <v>143900</v>
      </c>
      <c r="B1444" s="60">
        <f t="shared" si="111"/>
        <v>3793415</v>
      </c>
      <c r="C1444" s="60">
        <f t="shared" si="114"/>
        <v>3793415</v>
      </c>
      <c r="D1444" s="61">
        <f t="shared" si="110"/>
        <v>1</v>
      </c>
      <c r="E1444" s="64">
        <f t="shared" si="112"/>
        <v>379.34153476781319</v>
      </c>
      <c r="F1444" s="62" t="str">
        <f t="shared" si="113"/>
        <v/>
      </c>
    </row>
    <row r="1445" spans="1:6">
      <c r="A1445" s="60">
        <v>144000</v>
      </c>
      <c r="B1445" s="60">
        <f t="shared" si="111"/>
        <v>3794733</v>
      </c>
      <c r="C1445" s="60">
        <f t="shared" si="114"/>
        <v>3794733</v>
      </c>
      <c r="D1445" s="61">
        <f t="shared" si="110"/>
        <v>1</v>
      </c>
      <c r="E1445" s="64">
        <f t="shared" si="112"/>
        <v>379.4733192202055</v>
      </c>
      <c r="F1445" s="62" t="str">
        <f t="shared" si="113"/>
        <v/>
      </c>
    </row>
    <row r="1446" spans="1:6">
      <c r="A1446" s="60">
        <v>144100</v>
      </c>
      <c r="B1446" s="60">
        <f t="shared" si="111"/>
        <v>3796051</v>
      </c>
      <c r="C1446" s="60">
        <f t="shared" si="114"/>
        <v>3796051</v>
      </c>
      <c r="D1446" s="61">
        <f t="shared" si="110"/>
        <v>1</v>
      </c>
      <c r="E1446" s="64">
        <f t="shared" si="112"/>
        <v>379.60505792204611</v>
      </c>
      <c r="F1446" s="62" t="str">
        <f t="shared" si="113"/>
        <v/>
      </c>
    </row>
    <row r="1447" spans="1:6">
      <c r="A1447" s="60">
        <v>144200</v>
      </c>
      <c r="B1447" s="60">
        <f t="shared" si="111"/>
        <v>3797368</v>
      </c>
      <c r="C1447" s="60">
        <f t="shared" si="114"/>
        <v>3797368</v>
      </c>
      <c r="D1447" s="61">
        <f t="shared" si="110"/>
        <v>1</v>
      </c>
      <c r="E1447" s="64">
        <f t="shared" si="112"/>
        <v>379.7367509209505</v>
      </c>
      <c r="F1447" s="62" t="str">
        <f t="shared" si="113"/>
        <v/>
      </c>
    </row>
    <row r="1448" spans="1:6">
      <c r="A1448" s="60">
        <v>144300</v>
      </c>
      <c r="B1448" s="60">
        <f t="shared" si="111"/>
        <v>3798684</v>
      </c>
      <c r="C1448" s="60">
        <f t="shared" si="114"/>
        <v>3798684</v>
      </c>
      <c r="D1448" s="61">
        <f t="shared" si="110"/>
        <v>1</v>
      </c>
      <c r="E1448" s="64">
        <f t="shared" si="112"/>
        <v>379.86839826445157</v>
      </c>
      <c r="F1448" s="62" t="str">
        <f t="shared" si="113"/>
        <v/>
      </c>
    </row>
    <row r="1449" spans="1:6">
      <c r="A1449" s="60">
        <v>144400</v>
      </c>
      <c r="B1449" s="60">
        <f t="shared" si="111"/>
        <v>3800000</v>
      </c>
      <c r="C1449" s="60">
        <f t="shared" si="114"/>
        <v>3800000</v>
      </c>
      <c r="D1449" s="61">
        <f t="shared" si="110"/>
        <v>1</v>
      </c>
      <c r="E1449" s="64">
        <f t="shared" si="112"/>
        <v>380</v>
      </c>
      <c r="F1449" s="62" t="str">
        <f t="shared" si="113"/>
        <v/>
      </c>
    </row>
    <row r="1450" spans="1:6">
      <c r="A1450" s="60">
        <v>144500</v>
      </c>
      <c r="B1450" s="60">
        <f t="shared" si="111"/>
        <v>3801316</v>
      </c>
      <c r="C1450" s="60">
        <f t="shared" si="114"/>
        <v>3801316</v>
      </c>
      <c r="D1450" s="61">
        <f t="shared" si="110"/>
        <v>1</v>
      </c>
      <c r="E1450" s="64">
        <f t="shared" si="112"/>
        <v>380.13155617496426</v>
      </c>
      <c r="F1450" s="62" t="str">
        <f t="shared" si="113"/>
        <v/>
      </c>
    </row>
    <row r="1451" spans="1:6">
      <c r="A1451" s="60">
        <v>144600</v>
      </c>
      <c r="B1451" s="60">
        <f t="shared" si="111"/>
        <v>3802631</v>
      </c>
      <c r="C1451" s="60">
        <f t="shared" si="114"/>
        <v>3802631</v>
      </c>
      <c r="D1451" s="61">
        <f t="shared" si="110"/>
        <v>1</v>
      </c>
      <c r="E1451" s="64">
        <f t="shared" si="112"/>
        <v>380.26306683663086</v>
      </c>
      <c r="F1451" s="62" t="str">
        <f t="shared" si="113"/>
        <v/>
      </c>
    </row>
    <row r="1452" spans="1:6">
      <c r="A1452" s="60">
        <v>144700</v>
      </c>
      <c r="B1452" s="60">
        <f t="shared" si="111"/>
        <v>3803945</v>
      </c>
      <c r="C1452" s="60">
        <f t="shared" si="114"/>
        <v>3803945</v>
      </c>
      <c r="D1452" s="61">
        <f t="shared" si="110"/>
        <v>1</v>
      </c>
      <c r="E1452" s="64">
        <f t="shared" si="112"/>
        <v>380.39453203220467</v>
      </c>
      <c r="F1452" s="62" t="str">
        <f t="shared" si="113"/>
        <v/>
      </c>
    </row>
    <row r="1453" spans="1:6">
      <c r="A1453" s="60">
        <v>144800</v>
      </c>
      <c r="B1453" s="60">
        <f t="shared" si="111"/>
        <v>3805260</v>
      </c>
      <c r="C1453" s="60">
        <f t="shared" si="114"/>
        <v>3805260</v>
      </c>
      <c r="D1453" s="61">
        <f t="shared" si="110"/>
        <v>1</v>
      </c>
      <c r="E1453" s="64">
        <f t="shared" si="112"/>
        <v>380.52595180880894</v>
      </c>
      <c r="F1453" s="62" t="str">
        <f t="shared" si="113"/>
        <v/>
      </c>
    </row>
    <row r="1454" spans="1:6">
      <c r="A1454" s="60">
        <v>144900</v>
      </c>
      <c r="B1454" s="60">
        <f t="shared" si="111"/>
        <v>3806573</v>
      </c>
      <c r="C1454" s="60">
        <f t="shared" si="114"/>
        <v>3806573</v>
      </c>
      <c r="D1454" s="61">
        <f t="shared" si="110"/>
        <v>1</v>
      </c>
      <c r="E1454" s="64">
        <f t="shared" si="112"/>
        <v>380.65732621348559</v>
      </c>
      <c r="F1454" s="62" t="str">
        <f t="shared" si="113"/>
        <v/>
      </c>
    </row>
    <row r="1455" spans="1:6">
      <c r="A1455" s="60">
        <v>145000</v>
      </c>
      <c r="B1455" s="60">
        <f t="shared" si="111"/>
        <v>3807887</v>
      </c>
      <c r="C1455" s="60">
        <f t="shared" si="114"/>
        <v>3807887</v>
      </c>
      <c r="D1455" s="61">
        <f t="shared" si="110"/>
        <v>1</v>
      </c>
      <c r="E1455" s="64">
        <f t="shared" si="112"/>
        <v>380.7886552931954</v>
      </c>
      <c r="F1455" s="62" t="str">
        <f t="shared" si="113"/>
        <v/>
      </c>
    </row>
    <row r="1456" spans="1:6">
      <c r="A1456" s="60">
        <v>145100</v>
      </c>
      <c r="B1456" s="60">
        <f t="shared" si="111"/>
        <v>3809199</v>
      </c>
      <c r="C1456" s="60">
        <f t="shared" si="114"/>
        <v>3809199</v>
      </c>
      <c r="D1456" s="61">
        <f t="shared" si="110"/>
        <v>1</v>
      </c>
      <c r="E1456" s="64">
        <f t="shared" si="112"/>
        <v>380.91993909481818</v>
      </c>
      <c r="F1456" s="62" t="str">
        <f t="shared" si="113"/>
        <v/>
      </c>
    </row>
    <row r="1457" spans="1:6">
      <c r="A1457" s="60">
        <v>145200</v>
      </c>
      <c r="B1457" s="60">
        <f t="shared" si="111"/>
        <v>3810512</v>
      </c>
      <c r="C1457" s="60">
        <f t="shared" si="114"/>
        <v>3810512</v>
      </c>
      <c r="D1457" s="61">
        <f t="shared" si="110"/>
        <v>1</v>
      </c>
      <c r="E1457" s="64">
        <f t="shared" si="112"/>
        <v>381.05117766515298</v>
      </c>
      <c r="F1457" s="62" t="str">
        <f t="shared" si="113"/>
        <v/>
      </c>
    </row>
    <row r="1458" spans="1:6">
      <c r="A1458" s="60">
        <v>145300</v>
      </c>
      <c r="B1458" s="60">
        <f t="shared" si="111"/>
        <v>3811824</v>
      </c>
      <c r="C1458" s="60">
        <f t="shared" si="114"/>
        <v>3811824</v>
      </c>
      <c r="D1458" s="61">
        <f t="shared" si="110"/>
        <v>1</v>
      </c>
      <c r="E1458" s="64">
        <f t="shared" si="112"/>
        <v>381.18237105091833</v>
      </c>
      <c r="F1458" s="62" t="str">
        <f t="shared" si="113"/>
        <v/>
      </c>
    </row>
    <row r="1459" spans="1:6">
      <c r="A1459" s="60">
        <v>145400</v>
      </c>
      <c r="B1459" s="60">
        <f t="shared" si="111"/>
        <v>3813135</v>
      </c>
      <c r="C1459" s="60">
        <f t="shared" si="114"/>
        <v>3813135</v>
      </c>
      <c r="D1459" s="61">
        <f t="shared" si="110"/>
        <v>1</v>
      </c>
      <c r="E1459" s="64">
        <f t="shared" si="112"/>
        <v>381.3135192987524</v>
      </c>
      <c r="F1459" s="62" t="str">
        <f t="shared" si="113"/>
        <v/>
      </c>
    </row>
    <row r="1460" spans="1:6">
      <c r="A1460" s="60">
        <v>145500</v>
      </c>
      <c r="B1460" s="60">
        <f t="shared" si="111"/>
        <v>3814446</v>
      </c>
      <c r="C1460" s="60">
        <f t="shared" si="114"/>
        <v>3814446</v>
      </c>
      <c r="D1460" s="61">
        <f t="shared" si="110"/>
        <v>1</v>
      </c>
      <c r="E1460" s="64">
        <f t="shared" si="112"/>
        <v>381.44462245521299</v>
      </c>
      <c r="F1460" s="62" t="str">
        <f t="shared" si="113"/>
        <v/>
      </c>
    </row>
    <row r="1461" spans="1:6">
      <c r="A1461" s="60">
        <v>145600</v>
      </c>
      <c r="B1461" s="60">
        <f t="shared" si="111"/>
        <v>3815757</v>
      </c>
      <c r="C1461" s="60">
        <f t="shared" si="114"/>
        <v>3815757</v>
      </c>
      <c r="D1461" s="61">
        <f t="shared" si="110"/>
        <v>1</v>
      </c>
      <c r="E1461" s="64">
        <f t="shared" si="112"/>
        <v>381.57568056677826</v>
      </c>
      <c r="F1461" s="62" t="str">
        <f t="shared" si="113"/>
        <v/>
      </c>
    </row>
    <row r="1462" spans="1:6">
      <c r="A1462" s="60">
        <v>145700</v>
      </c>
      <c r="B1462" s="60">
        <f t="shared" si="111"/>
        <v>3817067</v>
      </c>
      <c r="C1462" s="60">
        <f t="shared" si="114"/>
        <v>3817067</v>
      </c>
      <c r="D1462" s="61">
        <f t="shared" si="110"/>
        <v>1</v>
      </c>
      <c r="E1462" s="64">
        <f t="shared" si="112"/>
        <v>381.7066936798463</v>
      </c>
      <c r="F1462" s="62" t="str">
        <f t="shared" si="113"/>
        <v/>
      </c>
    </row>
    <row r="1463" spans="1:6">
      <c r="A1463" s="60">
        <v>145800</v>
      </c>
      <c r="B1463" s="60">
        <f t="shared" si="111"/>
        <v>3818377</v>
      </c>
      <c r="C1463" s="60">
        <f t="shared" si="114"/>
        <v>3818377</v>
      </c>
      <c r="D1463" s="61">
        <f t="shared" si="110"/>
        <v>1</v>
      </c>
      <c r="E1463" s="64">
        <f t="shared" si="112"/>
        <v>381.83766184073568</v>
      </c>
      <c r="F1463" s="62" t="str">
        <f t="shared" si="113"/>
        <v/>
      </c>
    </row>
    <row r="1464" spans="1:6">
      <c r="A1464" s="60">
        <v>145900</v>
      </c>
      <c r="B1464" s="60">
        <f t="shared" si="111"/>
        <v>3819686</v>
      </c>
      <c r="C1464" s="60">
        <f t="shared" si="114"/>
        <v>3819686</v>
      </c>
      <c r="D1464" s="61">
        <f t="shared" si="110"/>
        <v>1</v>
      </c>
      <c r="E1464" s="64">
        <f t="shared" si="112"/>
        <v>381.96858509568557</v>
      </c>
      <c r="F1464" s="62" t="str">
        <f t="shared" si="113"/>
        <v/>
      </c>
    </row>
    <row r="1465" spans="1:6">
      <c r="A1465" s="60">
        <v>146000</v>
      </c>
      <c r="B1465" s="60">
        <f t="shared" si="111"/>
        <v>3820995</v>
      </c>
      <c r="C1465" s="60">
        <f t="shared" si="114"/>
        <v>3820995</v>
      </c>
      <c r="D1465" s="61">
        <f t="shared" si="110"/>
        <v>1</v>
      </c>
      <c r="E1465" s="64">
        <f t="shared" si="112"/>
        <v>382.09946349085601</v>
      </c>
      <c r="F1465" s="62" t="str">
        <f t="shared" si="113"/>
        <v/>
      </c>
    </row>
    <row r="1466" spans="1:6">
      <c r="A1466" s="60">
        <v>146100</v>
      </c>
      <c r="B1466" s="60">
        <f t="shared" si="111"/>
        <v>3822303</v>
      </c>
      <c r="C1466" s="60">
        <f t="shared" si="114"/>
        <v>3822303</v>
      </c>
      <c r="D1466" s="61">
        <f t="shared" si="110"/>
        <v>1</v>
      </c>
      <c r="E1466" s="64">
        <f t="shared" si="112"/>
        <v>382.23029707232786</v>
      </c>
      <c r="F1466" s="62" t="str">
        <f t="shared" si="113"/>
        <v/>
      </c>
    </row>
    <row r="1467" spans="1:6">
      <c r="A1467" s="60">
        <v>146200</v>
      </c>
      <c r="B1467" s="60">
        <f t="shared" si="111"/>
        <v>3823611</v>
      </c>
      <c r="C1467" s="60">
        <f t="shared" si="114"/>
        <v>3823611</v>
      </c>
      <c r="D1467" s="61">
        <f t="shared" si="110"/>
        <v>1</v>
      </c>
      <c r="E1467" s="64">
        <f t="shared" si="112"/>
        <v>382.36108588610324</v>
      </c>
      <c r="F1467" s="62" t="str">
        <f t="shared" si="113"/>
        <v/>
      </c>
    </row>
    <row r="1468" spans="1:6">
      <c r="A1468" s="60">
        <v>146300</v>
      </c>
      <c r="B1468" s="60">
        <f t="shared" si="111"/>
        <v>3824918</v>
      </c>
      <c r="C1468" s="60">
        <f t="shared" si="114"/>
        <v>3824918</v>
      </c>
      <c r="D1468" s="61">
        <f t="shared" si="110"/>
        <v>1</v>
      </c>
      <c r="E1468" s="64">
        <f t="shared" si="112"/>
        <v>382.49182997810556</v>
      </c>
      <c r="F1468" s="62" t="str">
        <f t="shared" si="113"/>
        <v/>
      </c>
    </row>
    <row r="1469" spans="1:6">
      <c r="A1469" s="60">
        <v>146400</v>
      </c>
      <c r="B1469" s="60">
        <f t="shared" si="111"/>
        <v>3826225</v>
      </c>
      <c r="C1469" s="60">
        <f t="shared" si="114"/>
        <v>3826225</v>
      </c>
      <c r="D1469" s="61">
        <f t="shared" si="110"/>
        <v>1</v>
      </c>
      <c r="E1469" s="64">
        <f t="shared" si="112"/>
        <v>382.62252939417982</v>
      </c>
      <c r="F1469" s="62" t="str">
        <f t="shared" si="113"/>
        <v/>
      </c>
    </row>
    <row r="1470" spans="1:6">
      <c r="A1470" s="60">
        <v>146500</v>
      </c>
      <c r="B1470" s="60">
        <f t="shared" si="111"/>
        <v>3827532</v>
      </c>
      <c r="C1470" s="60">
        <f t="shared" si="114"/>
        <v>3827532</v>
      </c>
      <c r="D1470" s="61">
        <f t="shared" si="110"/>
        <v>1</v>
      </c>
      <c r="E1470" s="64">
        <f t="shared" si="112"/>
        <v>382.75318418009277</v>
      </c>
      <c r="F1470" s="62" t="str">
        <f t="shared" si="113"/>
        <v/>
      </c>
    </row>
    <row r="1471" spans="1:6">
      <c r="A1471" s="60">
        <v>146600</v>
      </c>
      <c r="B1471" s="60">
        <f t="shared" si="111"/>
        <v>3828838</v>
      </c>
      <c r="C1471" s="60">
        <f t="shared" si="114"/>
        <v>3828838</v>
      </c>
      <c r="D1471" s="61">
        <f t="shared" si="110"/>
        <v>1</v>
      </c>
      <c r="E1471" s="64">
        <f t="shared" si="112"/>
        <v>382.88379438153294</v>
      </c>
      <c r="F1471" s="62" t="str">
        <f t="shared" si="113"/>
        <v/>
      </c>
    </row>
    <row r="1472" spans="1:6">
      <c r="A1472" s="60">
        <v>146700</v>
      </c>
      <c r="B1472" s="60">
        <f t="shared" si="111"/>
        <v>3830144</v>
      </c>
      <c r="C1472" s="60">
        <f t="shared" si="114"/>
        <v>3830144</v>
      </c>
      <c r="D1472" s="61">
        <f t="shared" si="110"/>
        <v>1</v>
      </c>
      <c r="E1472" s="64">
        <f t="shared" si="112"/>
        <v>383.01436004411113</v>
      </c>
      <c r="F1472" s="62" t="str">
        <f t="shared" si="113"/>
        <v/>
      </c>
    </row>
    <row r="1473" spans="1:6">
      <c r="A1473" s="60">
        <v>146800</v>
      </c>
      <c r="B1473" s="60">
        <f t="shared" si="111"/>
        <v>3831449</v>
      </c>
      <c r="C1473" s="60">
        <f t="shared" si="114"/>
        <v>3831449</v>
      </c>
      <c r="D1473" s="61">
        <f t="shared" si="110"/>
        <v>1</v>
      </c>
      <c r="E1473" s="64">
        <f t="shared" si="112"/>
        <v>383.14488121336035</v>
      </c>
      <c r="F1473" s="62" t="str">
        <f t="shared" si="113"/>
        <v/>
      </c>
    </row>
    <row r="1474" spans="1:6">
      <c r="A1474" s="60">
        <v>146900</v>
      </c>
      <c r="B1474" s="60">
        <f t="shared" si="111"/>
        <v>3832754</v>
      </c>
      <c r="C1474" s="60">
        <f t="shared" si="114"/>
        <v>3832754</v>
      </c>
      <c r="D1474" s="61">
        <f t="shared" si="110"/>
        <v>1</v>
      </c>
      <c r="E1474" s="64">
        <f t="shared" si="112"/>
        <v>383.27535793473601</v>
      </c>
      <c r="F1474" s="62" t="str">
        <f t="shared" si="113"/>
        <v/>
      </c>
    </row>
    <row r="1475" spans="1:6">
      <c r="A1475" s="60">
        <v>147000</v>
      </c>
      <c r="B1475" s="60">
        <f t="shared" si="111"/>
        <v>3834058</v>
      </c>
      <c r="C1475" s="60">
        <f t="shared" si="114"/>
        <v>3834058</v>
      </c>
      <c r="D1475" s="61">
        <f t="shared" si="110"/>
        <v>1</v>
      </c>
      <c r="E1475" s="64">
        <f t="shared" si="112"/>
        <v>383.40579025361626</v>
      </c>
      <c r="F1475" s="62" t="str">
        <f t="shared" si="113"/>
        <v/>
      </c>
    </row>
    <row r="1476" spans="1:6">
      <c r="A1476" s="60">
        <v>147100</v>
      </c>
      <c r="B1476" s="60">
        <f t="shared" si="111"/>
        <v>3835362</v>
      </c>
      <c r="C1476" s="60">
        <f t="shared" si="114"/>
        <v>3835362</v>
      </c>
      <c r="D1476" s="61">
        <f t="shared" si="110"/>
        <v>1</v>
      </c>
      <c r="E1476" s="64">
        <f t="shared" si="112"/>
        <v>383.53617821530213</v>
      </c>
      <c r="F1476" s="62" t="str">
        <f t="shared" si="113"/>
        <v/>
      </c>
    </row>
    <row r="1477" spans="1:6">
      <c r="A1477" s="60">
        <v>147200</v>
      </c>
      <c r="B1477" s="60">
        <f t="shared" si="111"/>
        <v>3836665</v>
      </c>
      <c r="C1477" s="60">
        <f t="shared" si="114"/>
        <v>3836665</v>
      </c>
      <c r="D1477" s="61">
        <f t="shared" ref="D1477:D1540" si="115">(A1477-INDEX(兵力区间,MATCH(A1477,兵力区间,1)))/(INDEX(兵力区间,MATCH(A1477,兵力区间,1)+1)-INDEX(兵力区间,MATCH(A1477,兵力区间,1)))*((INDEX(兵力调节,MATCH(A1477,兵力区间,1)+1,2)-INDEX(兵力调节,MATCH(A1477,兵力区间,1),2)))+INDEX(兵力调节,MATCH(A1477,兵力区间,1),2)</f>
        <v>1</v>
      </c>
      <c r="E1477" s="64">
        <f t="shared" si="112"/>
        <v>383.66652186501756</v>
      </c>
      <c r="F1477" s="62" t="str">
        <f t="shared" si="113"/>
        <v/>
      </c>
    </row>
    <row r="1478" spans="1:6">
      <c r="A1478" s="60">
        <v>147300</v>
      </c>
      <c r="B1478" s="60">
        <f t="shared" si="111"/>
        <v>3837968</v>
      </c>
      <c r="C1478" s="60">
        <f t="shared" si="114"/>
        <v>3837968</v>
      </c>
      <c r="D1478" s="61">
        <f t="shared" si="115"/>
        <v>1</v>
      </c>
      <c r="E1478" s="64">
        <f t="shared" si="112"/>
        <v>383.79682124790975</v>
      </c>
      <c r="F1478" s="62" t="str">
        <f t="shared" si="113"/>
        <v/>
      </c>
    </row>
    <row r="1479" spans="1:6">
      <c r="A1479" s="60">
        <v>147400</v>
      </c>
      <c r="B1479" s="60">
        <f t="shared" ref="B1479:B1542" si="116">ROUND(D1479*E1479*10000,0)</f>
        <v>3839271</v>
      </c>
      <c r="C1479" s="60">
        <f t="shared" si="114"/>
        <v>3839271</v>
      </c>
      <c r="D1479" s="61">
        <f t="shared" si="115"/>
        <v>1</v>
      </c>
      <c r="E1479" s="64">
        <f t="shared" ref="E1479:E1542" si="117">A1479^0.5</f>
        <v>383.92707640904933</v>
      </c>
      <c r="F1479" s="62" t="str">
        <f t="shared" si="113"/>
        <v/>
      </c>
    </row>
    <row r="1480" spans="1:6">
      <c r="A1480" s="60">
        <v>147500</v>
      </c>
      <c r="B1480" s="60">
        <f t="shared" si="116"/>
        <v>3840573</v>
      </c>
      <c r="C1480" s="60">
        <f t="shared" si="114"/>
        <v>3840573</v>
      </c>
      <c r="D1480" s="61">
        <f t="shared" si="115"/>
        <v>1</v>
      </c>
      <c r="E1480" s="64">
        <f t="shared" si="117"/>
        <v>384.05728739343039</v>
      </c>
      <c r="F1480" s="62" t="str">
        <f t="shared" ref="F1480:F1543" si="118">IF(B1480&lt;B1479,1,"")</f>
        <v/>
      </c>
    </row>
    <row r="1481" spans="1:6">
      <c r="A1481" s="60">
        <v>147600</v>
      </c>
      <c r="B1481" s="60">
        <f t="shared" si="116"/>
        <v>3841875</v>
      </c>
      <c r="C1481" s="60">
        <f t="shared" si="114"/>
        <v>3841875</v>
      </c>
      <c r="D1481" s="61">
        <f t="shared" si="115"/>
        <v>1</v>
      </c>
      <c r="E1481" s="64">
        <f t="shared" si="117"/>
        <v>384.18745424597091</v>
      </c>
      <c r="F1481" s="62" t="str">
        <f t="shared" si="118"/>
        <v/>
      </c>
    </row>
    <row r="1482" spans="1:6">
      <c r="A1482" s="60">
        <v>147700</v>
      </c>
      <c r="B1482" s="60">
        <f t="shared" si="116"/>
        <v>3843176</v>
      </c>
      <c r="C1482" s="60">
        <f t="shared" si="114"/>
        <v>3843176</v>
      </c>
      <c r="D1482" s="61">
        <f t="shared" si="115"/>
        <v>1</v>
      </c>
      <c r="E1482" s="64">
        <f t="shared" si="117"/>
        <v>384.3175770115127</v>
      </c>
      <c r="F1482" s="62" t="str">
        <f t="shared" si="118"/>
        <v/>
      </c>
    </row>
    <row r="1483" spans="1:6">
      <c r="A1483" s="60">
        <v>147800</v>
      </c>
      <c r="B1483" s="60">
        <f t="shared" si="116"/>
        <v>3844477</v>
      </c>
      <c r="C1483" s="60">
        <f t="shared" ref="C1483:C1546" si="119">ROUND(D1483*E1483*10000,0)</f>
        <v>3844477</v>
      </c>
      <c r="D1483" s="61">
        <f t="shared" si="115"/>
        <v>1</v>
      </c>
      <c r="E1483" s="64">
        <f t="shared" si="117"/>
        <v>384.44765573482169</v>
      </c>
      <c r="F1483" s="62" t="str">
        <f t="shared" si="118"/>
        <v/>
      </c>
    </row>
    <row r="1484" spans="1:6">
      <c r="A1484" s="60">
        <v>147900</v>
      </c>
      <c r="B1484" s="60">
        <f t="shared" si="116"/>
        <v>3845777</v>
      </c>
      <c r="C1484" s="60">
        <f t="shared" si="119"/>
        <v>3845777</v>
      </c>
      <c r="D1484" s="61">
        <f t="shared" si="115"/>
        <v>1</v>
      </c>
      <c r="E1484" s="64">
        <f t="shared" si="117"/>
        <v>384.5776904605882</v>
      </c>
      <c r="F1484" s="62" t="str">
        <f t="shared" si="118"/>
        <v/>
      </c>
    </row>
    <row r="1485" spans="1:6">
      <c r="A1485" s="60">
        <v>148000</v>
      </c>
      <c r="B1485" s="60">
        <f t="shared" si="116"/>
        <v>3847077</v>
      </c>
      <c r="C1485" s="60">
        <f t="shared" si="119"/>
        <v>3847077</v>
      </c>
      <c r="D1485" s="61">
        <f t="shared" si="115"/>
        <v>1</v>
      </c>
      <c r="E1485" s="64">
        <f t="shared" si="117"/>
        <v>384.70768123342691</v>
      </c>
      <c r="F1485" s="62" t="str">
        <f t="shared" si="118"/>
        <v/>
      </c>
    </row>
    <row r="1486" spans="1:6">
      <c r="A1486" s="60">
        <v>148100</v>
      </c>
      <c r="B1486" s="60">
        <f t="shared" si="116"/>
        <v>3848376</v>
      </c>
      <c r="C1486" s="60">
        <f t="shared" si="119"/>
        <v>3848376</v>
      </c>
      <c r="D1486" s="61">
        <f t="shared" si="115"/>
        <v>1</v>
      </c>
      <c r="E1486" s="64">
        <f t="shared" si="117"/>
        <v>384.83762809787714</v>
      </c>
      <c r="F1486" s="62" t="str">
        <f t="shared" si="118"/>
        <v/>
      </c>
    </row>
    <row r="1487" spans="1:6">
      <c r="A1487" s="60">
        <v>148200</v>
      </c>
      <c r="B1487" s="60">
        <f t="shared" si="116"/>
        <v>3849675</v>
      </c>
      <c r="C1487" s="60">
        <f t="shared" si="119"/>
        <v>3849675</v>
      </c>
      <c r="D1487" s="61">
        <f t="shared" si="115"/>
        <v>1</v>
      </c>
      <c r="E1487" s="64">
        <f t="shared" si="117"/>
        <v>384.96753109840313</v>
      </c>
      <c r="F1487" s="62" t="str">
        <f t="shared" si="118"/>
        <v/>
      </c>
    </row>
    <row r="1488" spans="1:6">
      <c r="A1488" s="60">
        <v>148300</v>
      </c>
      <c r="B1488" s="60">
        <f t="shared" si="116"/>
        <v>3850974</v>
      </c>
      <c r="C1488" s="60">
        <f t="shared" si="119"/>
        <v>3850974</v>
      </c>
      <c r="D1488" s="61">
        <f t="shared" si="115"/>
        <v>1</v>
      </c>
      <c r="E1488" s="64">
        <f t="shared" si="117"/>
        <v>385.09739027939412</v>
      </c>
      <c r="F1488" s="62" t="str">
        <f t="shared" si="118"/>
        <v/>
      </c>
    </row>
    <row r="1489" spans="1:6">
      <c r="A1489" s="60">
        <v>148400</v>
      </c>
      <c r="B1489" s="60">
        <f t="shared" si="116"/>
        <v>3852272</v>
      </c>
      <c r="C1489" s="60">
        <f t="shared" si="119"/>
        <v>3852272</v>
      </c>
      <c r="D1489" s="61">
        <f t="shared" si="115"/>
        <v>1</v>
      </c>
      <c r="E1489" s="64">
        <f t="shared" si="117"/>
        <v>385.22720568516445</v>
      </c>
      <c r="F1489" s="62" t="str">
        <f t="shared" si="118"/>
        <v/>
      </c>
    </row>
    <row r="1490" spans="1:6">
      <c r="A1490" s="60">
        <v>148500</v>
      </c>
      <c r="B1490" s="60">
        <f t="shared" si="116"/>
        <v>3853570</v>
      </c>
      <c r="C1490" s="60">
        <f t="shared" si="119"/>
        <v>3853570</v>
      </c>
      <c r="D1490" s="61">
        <f t="shared" si="115"/>
        <v>1</v>
      </c>
      <c r="E1490" s="64">
        <f t="shared" si="117"/>
        <v>385.35697735995387</v>
      </c>
      <c r="F1490" s="62" t="str">
        <f t="shared" si="118"/>
        <v/>
      </c>
    </row>
    <row r="1491" spans="1:6">
      <c r="A1491" s="60">
        <v>148600</v>
      </c>
      <c r="B1491" s="60">
        <f t="shared" si="116"/>
        <v>3854867</v>
      </c>
      <c r="C1491" s="60">
        <f t="shared" si="119"/>
        <v>3854867</v>
      </c>
      <c r="D1491" s="61">
        <f t="shared" si="115"/>
        <v>1</v>
      </c>
      <c r="E1491" s="64">
        <f t="shared" si="117"/>
        <v>385.48670534792768</v>
      </c>
      <c r="F1491" s="62" t="str">
        <f t="shared" si="118"/>
        <v/>
      </c>
    </row>
    <row r="1492" spans="1:6">
      <c r="A1492" s="60">
        <v>148700</v>
      </c>
      <c r="B1492" s="60">
        <f t="shared" si="116"/>
        <v>3856164</v>
      </c>
      <c r="C1492" s="60">
        <f t="shared" si="119"/>
        <v>3856164</v>
      </c>
      <c r="D1492" s="61">
        <f t="shared" si="115"/>
        <v>1</v>
      </c>
      <c r="E1492" s="64">
        <f t="shared" si="117"/>
        <v>385.61638969317681</v>
      </c>
      <c r="F1492" s="62" t="str">
        <f t="shared" si="118"/>
        <v/>
      </c>
    </row>
    <row r="1493" spans="1:6">
      <c r="A1493" s="60">
        <v>148800</v>
      </c>
      <c r="B1493" s="60">
        <f t="shared" si="116"/>
        <v>3857460</v>
      </c>
      <c r="C1493" s="60">
        <f t="shared" si="119"/>
        <v>3857460</v>
      </c>
      <c r="D1493" s="61">
        <f t="shared" si="115"/>
        <v>1</v>
      </c>
      <c r="E1493" s="64">
        <f t="shared" si="117"/>
        <v>385.7460304397182</v>
      </c>
      <c r="F1493" s="62" t="str">
        <f t="shared" si="118"/>
        <v/>
      </c>
    </row>
    <row r="1494" spans="1:6">
      <c r="A1494" s="60">
        <v>148900</v>
      </c>
      <c r="B1494" s="60">
        <f t="shared" si="116"/>
        <v>3858756</v>
      </c>
      <c r="C1494" s="60">
        <f t="shared" si="119"/>
        <v>3858756</v>
      </c>
      <c r="D1494" s="61">
        <f t="shared" si="115"/>
        <v>1</v>
      </c>
      <c r="E1494" s="64">
        <f t="shared" si="117"/>
        <v>385.87562763149475</v>
      </c>
      <c r="F1494" s="62" t="str">
        <f t="shared" si="118"/>
        <v/>
      </c>
    </row>
    <row r="1495" spans="1:6">
      <c r="A1495" s="60">
        <v>149000</v>
      </c>
      <c r="B1495" s="60">
        <f t="shared" si="116"/>
        <v>3860052</v>
      </c>
      <c r="C1495" s="60">
        <f t="shared" si="119"/>
        <v>3860052</v>
      </c>
      <c r="D1495" s="61">
        <f t="shared" si="115"/>
        <v>1</v>
      </c>
      <c r="E1495" s="64">
        <f t="shared" si="117"/>
        <v>386.00518131237567</v>
      </c>
      <c r="F1495" s="62" t="str">
        <f t="shared" si="118"/>
        <v/>
      </c>
    </row>
    <row r="1496" spans="1:6">
      <c r="A1496" s="60">
        <v>149100</v>
      </c>
      <c r="B1496" s="60">
        <f t="shared" si="116"/>
        <v>3861347</v>
      </c>
      <c r="C1496" s="60">
        <f t="shared" si="119"/>
        <v>3861347</v>
      </c>
      <c r="D1496" s="61">
        <f t="shared" si="115"/>
        <v>1</v>
      </c>
      <c r="E1496" s="64">
        <f t="shared" si="117"/>
        <v>386.13469152615647</v>
      </c>
      <c r="F1496" s="62" t="str">
        <f t="shared" si="118"/>
        <v/>
      </c>
    </row>
    <row r="1497" spans="1:6">
      <c r="A1497" s="60">
        <v>149200</v>
      </c>
      <c r="B1497" s="60">
        <f t="shared" si="116"/>
        <v>3862642</v>
      </c>
      <c r="C1497" s="60">
        <f t="shared" si="119"/>
        <v>3862642</v>
      </c>
      <c r="D1497" s="61">
        <f t="shared" si="115"/>
        <v>1</v>
      </c>
      <c r="E1497" s="64">
        <f t="shared" si="117"/>
        <v>386.2641583165593</v>
      </c>
      <c r="F1497" s="62" t="str">
        <f t="shared" si="118"/>
        <v/>
      </c>
    </row>
    <row r="1498" spans="1:6">
      <c r="A1498" s="60">
        <v>149300</v>
      </c>
      <c r="B1498" s="60">
        <f t="shared" si="116"/>
        <v>3863936</v>
      </c>
      <c r="C1498" s="60">
        <f t="shared" si="119"/>
        <v>3863936</v>
      </c>
      <c r="D1498" s="61">
        <f t="shared" si="115"/>
        <v>1</v>
      </c>
      <c r="E1498" s="64">
        <f t="shared" si="117"/>
        <v>386.39358172723314</v>
      </c>
      <c r="F1498" s="62" t="str">
        <f t="shared" si="118"/>
        <v/>
      </c>
    </row>
    <row r="1499" spans="1:6">
      <c r="A1499" s="60">
        <v>149400</v>
      </c>
      <c r="B1499" s="60">
        <f t="shared" si="116"/>
        <v>3865230</v>
      </c>
      <c r="C1499" s="60">
        <f t="shared" si="119"/>
        <v>3865230</v>
      </c>
      <c r="D1499" s="61">
        <f t="shared" si="115"/>
        <v>1</v>
      </c>
      <c r="E1499" s="64">
        <f t="shared" si="117"/>
        <v>386.52296180175375</v>
      </c>
      <c r="F1499" s="62" t="str">
        <f t="shared" si="118"/>
        <v/>
      </c>
    </row>
    <row r="1500" spans="1:6">
      <c r="A1500" s="60">
        <v>149500</v>
      </c>
      <c r="B1500" s="60">
        <f t="shared" si="116"/>
        <v>3866523</v>
      </c>
      <c r="C1500" s="60">
        <f t="shared" si="119"/>
        <v>3866523</v>
      </c>
      <c r="D1500" s="61">
        <f t="shared" si="115"/>
        <v>1</v>
      </c>
      <c r="E1500" s="64">
        <f t="shared" si="117"/>
        <v>386.65229858362409</v>
      </c>
      <c r="F1500" s="62" t="str">
        <f t="shared" si="118"/>
        <v/>
      </c>
    </row>
    <row r="1501" spans="1:6">
      <c r="A1501" s="60">
        <v>149600</v>
      </c>
      <c r="B1501" s="60">
        <f t="shared" si="116"/>
        <v>3867816</v>
      </c>
      <c r="C1501" s="60">
        <f t="shared" si="119"/>
        <v>3867816</v>
      </c>
      <c r="D1501" s="61">
        <f t="shared" si="115"/>
        <v>1</v>
      </c>
      <c r="E1501" s="64">
        <f t="shared" si="117"/>
        <v>386.78159211627434</v>
      </c>
      <c r="F1501" s="62" t="str">
        <f t="shared" si="118"/>
        <v/>
      </c>
    </row>
    <row r="1502" spans="1:6">
      <c r="A1502" s="60">
        <v>149700</v>
      </c>
      <c r="B1502" s="60">
        <f t="shared" si="116"/>
        <v>3869108</v>
      </c>
      <c r="C1502" s="60">
        <f t="shared" si="119"/>
        <v>3869108</v>
      </c>
      <c r="D1502" s="61">
        <f t="shared" si="115"/>
        <v>1</v>
      </c>
      <c r="E1502" s="64">
        <f t="shared" si="117"/>
        <v>386.91084244306205</v>
      </c>
      <c r="F1502" s="62" t="str">
        <f t="shared" si="118"/>
        <v/>
      </c>
    </row>
    <row r="1503" spans="1:6">
      <c r="A1503" s="60">
        <v>149800</v>
      </c>
      <c r="B1503" s="60">
        <f t="shared" si="116"/>
        <v>3870400</v>
      </c>
      <c r="C1503" s="60">
        <f t="shared" si="119"/>
        <v>3870400</v>
      </c>
      <c r="D1503" s="61">
        <f t="shared" si="115"/>
        <v>1</v>
      </c>
      <c r="E1503" s="64">
        <f t="shared" si="117"/>
        <v>387.04004960727258</v>
      </c>
      <c r="F1503" s="62" t="str">
        <f t="shared" si="118"/>
        <v/>
      </c>
    </row>
    <row r="1504" spans="1:6">
      <c r="A1504" s="60">
        <v>149900</v>
      </c>
      <c r="B1504" s="60">
        <f t="shared" si="116"/>
        <v>3871692</v>
      </c>
      <c r="C1504" s="60">
        <f t="shared" si="119"/>
        <v>3871692</v>
      </c>
      <c r="D1504" s="61">
        <f t="shared" si="115"/>
        <v>1</v>
      </c>
      <c r="E1504" s="64">
        <f t="shared" si="117"/>
        <v>387.1692136521188</v>
      </c>
      <c r="F1504" s="62" t="str">
        <f t="shared" si="118"/>
        <v/>
      </c>
    </row>
    <row r="1505" spans="1:6">
      <c r="A1505" s="60">
        <v>150000</v>
      </c>
      <c r="B1505" s="60">
        <f t="shared" si="116"/>
        <v>3872983</v>
      </c>
      <c r="C1505" s="60">
        <f t="shared" si="119"/>
        <v>3872983</v>
      </c>
      <c r="D1505" s="61">
        <f t="shared" si="115"/>
        <v>1</v>
      </c>
      <c r="E1505" s="64">
        <f t="shared" si="117"/>
        <v>387.29833462074168</v>
      </c>
      <c r="F1505" s="62" t="str">
        <f t="shared" si="118"/>
        <v/>
      </c>
    </row>
    <row r="1506" spans="1:6">
      <c r="A1506" s="60">
        <v>150100</v>
      </c>
      <c r="B1506" s="60">
        <f t="shared" si="116"/>
        <v>3874274</v>
      </c>
      <c r="C1506" s="60">
        <f t="shared" si="119"/>
        <v>3874274</v>
      </c>
      <c r="D1506" s="61">
        <f t="shared" si="115"/>
        <v>1</v>
      </c>
      <c r="E1506" s="64">
        <f t="shared" si="117"/>
        <v>387.4274125562103</v>
      </c>
      <c r="F1506" s="62" t="str">
        <f t="shared" si="118"/>
        <v/>
      </c>
    </row>
    <row r="1507" spans="1:6">
      <c r="A1507" s="60">
        <v>150200</v>
      </c>
      <c r="B1507" s="60">
        <f t="shared" si="116"/>
        <v>3875564</v>
      </c>
      <c r="C1507" s="60">
        <f t="shared" si="119"/>
        <v>3875564</v>
      </c>
      <c r="D1507" s="61">
        <f t="shared" si="115"/>
        <v>1</v>
      </c>
      <c r="E1507" s="64">
        <f t="shared" si="117"/>
        <v>387.55644750152203</v>
      </c>
      <c r="F1507" s="62" t="str">
        <f t="shared" si="118"/>
        <v/>
      </c>
    </row>
    <row r="1508" spans="1:6">
      <c r="A1508" s="60">
        <v>150300</v>
      </c>
      <c r="B1508" s="60">
        <f t="shared" si="116"/>
        <v>3876854</v>
      </c>
      <c r="C1508" s="60">
        <f t="shared" si="119"/>
        <v>3876854</v>
      </c>
      <c r="D1508" s="61">
        <f t="shared" si="115"/>
        <v>1</v>
      </c>
      <c r="E1508" s="64">
        <f t="shared" si="117"/>
        <v>387.68543949960258</v>
      </c>
      <c r="F1508" s="62" t="str">
        <f t="shared" si="118"/>
        <v/>
      </c>
    </row>
    <row r="1509" spans="1:6">
      <c r="A1509" s="60">
        <v>150400</v>
      </c>
      <c r="B1509" s="60">
        <f t="shared" si="116"/>
        <v>3878144</v>
      </c>
      <c r="C1509" s="60">
        <f t="shared" si="119"/>
        <v>3878144</v>
      </c>
      <c r="D1509" s="61">
        <f t="shared" si="115"/>
        <v>1</v>
      </c>
      <c r="E1509" s="64">
        <f t="shared" si="117"/>
        <v>387.81438859330632</v>
      </c>
      <c r="F1509" s="62" t="str">
        <f t="shared" si="118"/>
        <v/>
      </c>
    </row>
    <row r="1510" spans="1:6">
      <c r="A1510" s="60">
        <v>150500</v>
      </c>
      <c r="B1510" s="60">
        <f t="shared" si="116"/>
        <v>3879433</v>
      </c>
      <c r="C1510" s="60">
        <f t="shared" si="119"/>
        <v>3879433</v>
      </c>
      <c r="D1510" s="61">
        <f t="shared" si="115"/>
        <v>1</v>
      </c>
      <c r="E1510" s="64">
        <f t="shared" si="117"/>
        <v>387.94329482541644</v>
      </c>
      <c r="F1510" s="62" t="str">
        <f t="shared" si="118"/>
        <v/>
      </c>
    </row>
    <row r="1511" spans="1:6">
      <c r="A1511" s="60">
        <v>150600</v>
      </c>
      <c r="B1511" s="60">
        <f t="shared" si="116"/>
        <v>3880722</v>
      </c>
      <c r="C1511" s="60">
        <f t="shared" si="119"/>
        <v>3880722</v>
      </c>
      <c r="D1511" s="61">
        <f t="shared" si="115"/>
        <v>1</v>
      </c>
      <c r="E1511" s="64">
        <f t="shared" si="117"/>
        <v>388.0721582386451</v>
      </c>
      <c r="F1511" s="62" t="str">
        <f t="shared" si="118"/>
        <v/>
      </c>
    </row>
    <row r="1512" spans="1:6">
      <c r="A1512" s="60">
        <v>150700</v>
      </c>
      <c r="B1512" s="60">
        <f t="shared" si="116"/>
        <v>3882010</v>
      </c>
      <c r="C1512" s="60">
        <f t="shared" si="119"/>
        <v>3882010</v>
      </c>
      <c r="D1512" s="61">
        <f t="shared" si="115"/>
        <v>1</v>
      </c>
      <c r="E1512" s="64">
        <f t="shared" si="117"/>
        <v>388.20097887563344</v>
      </c>
      <c r="F1512" s="62" t="str">
        <f t="shared" si="118"/>
        <v/>
      </c>
    </row>
    <row r="1513" spans="1:6">
      <c r="A1513" s="60">
        <v>150800</v>
      </c>
      <c r="B1513" s="60">
        <f t="shared" si="116"/>
        <v>3883298</v>
      </c>
      <c r="C1513" s="60">
        <f t="shared" si="119"/>
        <v>3883298</v>
      </c>
      <c r="D1513" s="61">
        <f t="shared" si="115"/>
        <v>1</v>
      </c>
      <c r="E1513" s="64">
        <f t="shared" si="117"/>
        <v>388.329756778952</v>
      </c>
      <c r="F1513" s="62" t="str">
        <f t="shared" si="118"/>
        <v/>
      </c>
    </row>
    <row r="1514" spans="1:6">
      <c r="A1514" s="60">
        <v>150900</v>
      </c>
      <c r="B1514" s="60">
        <f t="shared" si="116"/>
        <v>3884585</v>
      </c>
      <c r="C1514" s="60">
        <f t="shared" si="119"/>
        <v>3884585</v>
      </c>
      <c r="D1514" s="61">
        <f t="shared" si="115"/>
        <v>1</v>
      </c>
      <c r="E1514" s="64">
        <f t="shared" si="117"/>
        <v>388.45849199110063</v>
      </c>
      <c r="F1514" s="62" t="str">
        <f t="shared" si="118"/>
        <v/>
      </c>
    </row>
    <row r="1515" spans="1:6">
      <c r="A1515" s="60">
        <v>151000</v>
      </c>
      <c r="B1515" s="60">
        <f t="shared" si="116"/>
        <v>3885872</v>
      </c>
      <c r="C1515" s="60">
        <f t="shared" si="119"/>
        <v>3885872</v>
      </c>
      <c r="D1515" s="61">
        <f t="shared" si="115"/>
        <v>1</v>
      </c>
      <c r="E1515" s="64">
        <f t="shared" si="117"/>
        <v>388.58718455450895</v>
      </c>
      <c r="F1515" s="62" t="str">
        <f t="shared" si="118"/>
        <v/>
      </c>
    </row>
    <row r="1516" spans="1:6">
      <c r="A1516" s="60">
        <v>151100</v>
      </c>
      <c r="B1516" s="60">
        <f t="shared" si="116"/>
        <v>3887158</v>
      </c>
      <c r="C1516" s="60">
        <f t="shared" si="119"/>
        <v>3887158</v>
      </c>
      <c r="D1516" s="61">
        <f t="shared" si="115"/>
        <v>1</v>
      </c>
      <c r="E1516" s="64">
        <f t="shared" si="117"/>
        <v>388.71583451153623</v>
      </c>
      <c r="F1516" s="62" t="str">
        <f t="shared" si="118"/>
        <v/>
      </c>
    </row>
    <row r="1517" spans="1:6">
      <c r="A1517" s="60">
        <v>151200</v>
      </c>
      <c r="B1517" s="60">
        <f t="shared" si="116"/>
        <v>3888444</v>
      </c>
      <c r="C1517" s="60">
        <f t="shared" si="119"/>
        <v>3888444</v>
      </c>
      <c r="D1517" s="61">
        <f t="shared" si="115"/>
        <v>1</v>
      </c>
      <c r="E1517" s="64">
        <f t="shared" si="117"/>
        <v>388.84444190447164</v>
      </c>
      <c r="F1517" s="62" t="str">
        <f t="shared" si="118"/>
        <v/>
      </c>
    </row>
    <row r="1518" spans="1:6">
      <c r="A1518" s="60">
        <v>151300</v>
      </c>
      <c r="B1518" s="60">
        <f t="shared" si="116"/>
        <v>3889730</v>
      </c>
      <c r="C1518" s="60">
        <f t="shared" si="119"/>
        <v>3889730</v>
      </c>
      <c r="D1518" s="61">
        <f t="shared" si="115"/>
        <v>1</v>
      </c>
      <c r="E1518" s="64">
        <f t="shared" si="117"/>
        <v>388.97300677553449</v>
      </c>
      <c r="F1518" s="62" t="str">
        <f t="shared" si="118"/>
        <v/>
      </c>
    </row>
    <row r="1519" spans="1:6">
      <c r="A1519" s="60">
        <v>151400</v>
      </c>
      <c r="B1519" s="60">
        <f t="shared" si="116"/>
        <v>3891015</v>
      </c>
      <c r="C1519" s="60">
        <f t="shared" si="119"/>
        <v>3891015</v>
      </c>
      <c r="D1519" s="61">
        <f t="shared" si="115"/>
        <v>1</v>
      </c>
      <c r="E1519" s="64">
        <f t="shared" si="117"/>
        <v>389.1015291668744</v>
      </c>
      <c r="F1519" s="62" t="str">
        <f t="shared" si="118"/>
        <v/>
      </c>
    </row>
    <row r="1520" spans="1:6">
      <c r="A1520" s="60">
        <v>151500</v>
      </c>
      <c r="B1520" s="60">
        <f t="shared" si="116"/>
        <v>3892300</v>
      </c>
      <c r="C1520" s="60">
        <f t="shared" si="119"/>
        <v>3892300</v>
      </c>
      <c r="D1520" s="61">
        <f t="shared" si="115"/>
        <v>1</v>
      </c>
      <c r="E1520" s="64">
        <f t="shared" si="117"/>
        <v>389.23000912057125</v>
      </c>
      <c r="F1520" s="62" t="str">
        <f t="shared" si="118"/>
        <v/>
      </c>
    </row>
    <row r="1521" spans="1:6">
      <c r="A1521" s="60">
        <v>151600</v>
      </c>
      <c r="B1521" s="60">
        <f t="shared" si="116"/>
        <v>3893584</v>
      </c>
      <c r="C1521" s="60">
        <f t="shared" si="119"/>
        <v>3893584</v>
      </c>
      <c r="D1521" s="61">
        <f t="shared" si="115"/>
        <v>1</v>
      </c>
      <c r="E1521" s="64">
        <f t="shared" si="117"/>
        <v>389.35844667863569</v>
      </c>
      <c r="F1521" s="62" t="str">
        <f t="shared" si="118"/>
        <v/>
      </c>
    </row>
    <row r="1522" spans="1:6">
      <c r="A1522" s="60">
        <v>151700</v>
      </c>
      <c r="B1522" s="60">
        <f t="shared" si="116"/>
        <v>3894868</v>
      </c>
      <c r="C1522" s="60">
        <f t="shared" si="119"/>
        <v>3894868</v>
      </c>
      <c r="D1522" s="61">
        <f t="shared" si="115"/>
        <v>1</v>
      </c>
      <c r="E1522" s="64">
        <f t="shared" si="117"/>
        <v>389.48684188300894</v>
      </c>
      <c r="F1522" s="62" t="str">
        <f t="shared" si="118"/>
        <v/>
      </c>
    </row>
    <row r="1523" spans="1:6">
      <c r="A1523" s="60">
        <v>151800</v>
      </c>
      <c r="B1523" s="60">
        <f t="shared" si="116"/>
        <v>3896152</v>
      </c>
      <c r="C1523" s="60">
        <f t="shared" si="119"/>
        <v>3896152</v>
      </c>
      <c r="D1523" s="61">
        <f t="shared" si="115"/>
        <v>1</v>
      </c>
      <c r="E1523" s="64">
        <f t="shared" si="117"/>
        <v>389.61519477556311</v>
      </c>
      <c r="F1523" s="62" t="str">
        <f t="shared" si="118"/>
        <v/>
      </c>
    </row>
    <row r="1524" spans="1:6">
      <c r="A1524" s="60">
        <v>151900</v>
      </c>
      <c r="B1524" s="60">
        <f t="shared" si="116"/>
        <v>3897435</v>
      </c>
      <c r="C1524" s="60">
        <f t="shared" si="119"/>
        <v>3897435</v>
      </c>
      <c r="D1524" s="61">
        <f t="shared" si="115"/>
        <v>1</v>
      </c>
      <c r="E1524" s="64">
        <f t="shared" si="117"/>
        <v>389.74350539810155</v>
      </c>
      <c r="F1524" s="62" t="str">
        <f t="shared" si="118"/>
        <v/>
      </c>
    </row>
    <row r="1525" spans="1:6">
      <c r="A1525" s="60">
        <v>152000</v>
      </c>
      <c r="B1525" s="60">
        <f t="shared" si="116"/>
        <v>3898718</v>
      </c>
      <c r="C1525" s="60">
        <f t="shared" si="119"/>
        <v>3898718</v>
      </c>
      <c r="D1525" s="61">
        <f t="shared" si="115"/>
        <v>1</v>
      </c>
      <c r="E1525" s="64">
        <f t="shared" si="117"/>
        <v>389.87177379235857</v>
      </c>
      <c r="F1525" s="62" t="str">
        <f t="shared" si="118"/>
        <v/>
      </c>
    </row>
    <row r="1526" spans="1:6">
      <c r="A1526" s="60">
        <v>152100</v>
      </c>
      <c r="B1526" s="60">
        <f t="shared" si="116"/>
        <v>3900000</v>
      </c>
      <c r="C1526" s="60">
        <f t="shared" si="119"/>
        <v>3900000</v>
      </c>
      <c r="D1526" s="61">
        <f t="shared" si="115"/>
        <v>1</v>
      </c>
      <c r="E1526" s="64">
        <f t="shared" si="117"/>
        <v>390</v>
      </c>
      <c r="F1526" s="62" t="str">
        <f t="shared" si="118"/>
        <v/>
      </c>
    </row>
    <row r="1527" spans="1:6">
      <c r="A1527" s="60">
        <v>152200</v>
      </c>
      <c r="B1527" s="60">
        <f t="shared" si="116"/>
        <v>3901282</v>
      </c>
      <c r="C1527" s="60">
        <f t="shared" si="119"/>
        <v>3901282</v>
      </c>
      <c r="D1527" s="61">
        <f t="shared" si="115"/>
        <v>1</v>
      </c>
      <c r="E1527" s="64">
        <f t="shared" si="117"/>
        <v>390.12818406262318</v>
      </c>
      <c r="F1527" s="62" t="str">
        <f t="shared" si="118"/>
        <v/>
      </c>
    </row>
    <row r="1528" spans="1:6">
      <c r="A1528" s="60">
        <v>152300</v>
      </c>
      <c r="B1528" s="60">
        <f t="shared" si="116"/>
        <v>3902563</v>
      </c>
      <c r="C1528" s="60">
        <f t="shared" si="119"/>
        <v>3902563</v>
      </c>
      <c r="D1528" s="61">
        <f t="shared" si="115"/>
        <v>1</v>
      </c>
      <c r="E1528" s="64">
        <f t="shared" si="117"/>
        <v>390.25632602175716</v>
      </c>
      <c r="F1528" s="62" t="str">
        <f t="shared" si="118"/>
        <v/>
      </c>
    </row>
    <row r="1529" spans="1:6">
      <c r="A1529" s="60">
        <v>152400</v>
      </c>
      <c r="B1529" s="60">
        <f t="shared" si="116"/>
        <v>3903844</v>
      </c>
      <c r="C1529" s="60">
        <f t="shared" si="119"/>
        <v>3903844</v>
      </c>
      <c r="D1529" s="61">
        <f t="shared" si="115"/>
        <v>1</v>
      </c>
      <c r="E1529" s="64">
        <f t="shared" si="117"/>
        <v>390.38442591886269</v>
      </c>
      <c r="F1529" s="62" t="str">
        <f t="shared" si="118"/>
        <v/>
      </c>
    </row>
    <row r="1530" spans="1:6">
      <c r="A1530" s="60">
        <v>152500</v>
      </c>
      <c r="B1530" s="60">
        <f t="shared" si="116"/>
        <v>3905125</v>
      </c>
      <c r="C1530" s="60">
        <f t="shared" si="119"/>
        <v>3905125</v>
      </c>
      <c r="D1530" s="61">
        <f t="shared" si="115"/>
        <v>1</v>
      </c>
      <c r="E1530" s="64">
        <f t="shared" si="117"/>
        <v>390.51248379533274</v>
      </c>
      <c r="F1530" s="62" t="str">
        <f t="shared" si="118"/>
        <v/>
      </c>
    </row>
    <row r="1531" spans="1:6">
      <c r="A1531" s="60">
        <v>152600</v>
      </c>
      <c r="B1531" s="60">
        <f t="shared" si="116"/>
        <v>3906405</v>
      </c>
      <c r="C1531" s="60">
        <f t="shared" si="119"/>
        <v>3906405</v>
      </c>
      <c r="D1531" s="61">
        <f t="shared" si="115"/>
        <v>1</v>
      </c>
      <c r="E1531" s="64">
        <f t="shared" si="117"/>
        <v>390.6404996924922</v>
      </c>
      <c r="F1531" s="62" t="str">
        <f t="shared" si="118"/>
        <v/>
      </c>
    </row>
    <row r="1532" spans="1:6">
      <c r="A1532" s="60">
        <v>152700</v>
      </c>
      <c r="B1532" s="60">
        <f t="shared" si="116"/>
        <v>3907685</v>
      </c>
      <c r="C1532" s="60">
        <f t="shared" si="119"/>
        <v>3907685</v>
      </c>
      <c r="D1532" s="61">
        <f t="shared" si="115"/>
        <v>1</v>
      </c>
      <c r="E1532" s="64">
        <f t="shared" si="117"/>
        <v>390.76847365159847</v>
      </c>
      <c r="F1532" s="62" t="str">
        <f t="shared" si="118"/>
        <v/>
      </c>
    </row>
    <row r="1533" spans="1:6">
      <c r="A1533" s="60">
        <v>152800</v>
      </c>
      <c r="B1533" s="60">
        <f t="shared" si="116"/>
        <v>3908964</v>
      </c>
      <c r="C1533" s="60">
        <f t="shared" si="119"/>
        <v>3908964</v>
      </c>
      <c r="D1533" s="61">
        <f t="shared" si="115"/>
        <v>1</v>
      </c>
      <c r="E1533" s="64">
        <f t="shared" si="117"/>
        <v>390.89640571384126</v>
      </c>
      <c r="F1533" s="62" t="str">
        <f t="shared" si="118"/>
        <v/>
      </c>
    </row>
    <row r="1534" spans="1:6">
      <c r="A1534" s="60">
        <v>152900</v>
      </c>
      <c r="B1534" s="60">
        <f t="shared" si="116"/>
        <v>3910243</v>
      </c>
      <c r="C1534" s="60">
        <f t="shared" si="119"/>
        <v>3910243</v>
      </c>
      <c r="D1534" s="61">
        <f t="shared" si="115"/>
        <v>1</v>
      </c>
      <c r="E1534" s="64">
        <f t="shared" si="117"/>
        <v>391.02429592034304</v>
      </c>
      <c r="F1534" s="62" t="str">
        <f t="shared" si="118"/>
        <v/>
      </c>
    </row>
    <row r="1535" spans="1:6">
      <c r="A1535" s="60">
        <v>153000</v>
      </c>
      <c r="B1535" s="60">
        <f t="shared" si="116"/>
        <v>3911521</v>
      </c>
      <c r="C1535" s="60">
        <f t="shared" si="119"/>
        <v>3911521</v>
      </c>
      <c r="D1535" s="61">
        <f t="shared" si="115"/>
        <v>1</v>
      </c>
      <c r="E1535" s="64">
        <f t="shared" si="117"/>
        <v>391.1521443121589</v>
      </c>
      <c r="F1535" s="62" t="str">
        <f t="shared" si="118"/>
        <v/>
      </c>
    </row>
    <row r="1536" spans="1:6">
      <c r="A1536" s="60">
        <v>153100</v>
      </c>
      <c r="B1536" s="60">
        <f t="shared" si="116"/>
        <v>3912800</v>
      </c>
      <c r="C1536" s="60">
        <f t="shared" si="119"/>
        <v>3912800</v>
      </c>
      <c r="D1536" s="61">
        <f t="shared" si="115"/>
        <v>1</v>
      </c>
      <c r="E1536" s="64">
        <f t="shared" si="117"/>
        <v>391.27995093027704</v>
      </c>
      <c r="F1536" s="62" t="str">
        <f t="shared" si="118"/>
        <v/>
      </c>
    </row>
    <row r="1537" spans="1:6">
      <c r="A1537" s="60">
        <v>153200</v>
      </c>
      <c r="B1537" s="60">
        <f t="shared" si="116"/>
        <v>3914077</v>
      </c>
      <c r="C1537" s="60">
        <f t="shared" si="119"/>
        <v>3914077</v>
      </c>
      <c r="D1537" s="61">
        <f t="shared" si="115"/>
        <v>1</v>
      </c>
      <c r="E1537" s="64">
        <f t="shared" si="117"/>
        <v>391.40771581561853</v>
      </c>
      <c r="F1537" s="62" t="str">
        <f t="shared" si="118"/>
        <v/>
      </c>
    </row>
    <row r="1538" spans="1:6">
      <c r="A1538" s="60">
        <v>153300</v>
      </c>
      <c r="B1538" s="60">
        <f t="shared" si="116"/>
        <v>3915354</v>
      </c>
      <c r="C1538" s="60">
        <f t="shared" si="119"/>
        <v>3915354</v>
      </c>
      <c r="D1538" s="61">
        <f t="shared" si="115"/>
        <v>1</v>
      </c>
      <c r="E1538" s="64">
        <f t="shared" si="117"/>
        <v>391.53543900903787</v>
      </c>
      <c r="F1538" s="62" t="str">
        <f t="shared" si="118"/>
        <v/>
      </c>
    </row>
    <row r="1539" spans="1:6">
      <c r="A1539" s="60">
        <v>153400</v>
      </c>
      <c r="B1539" s="60">
        <f t="shared" si="116"/>
        <v>3916631</v>
      </c>
      <c r="C1539" s="60">
        <f t="shared" si="119"/>
        <v>3916631</v>
      </c>
      <c r="D1539" s="61">
        <f t="shared" si="115"/>
        <v>1</v>
      </c>
      <c r="E1539" s="64">
        <f t="shared" si="117"/>
        <v>391.66312055132278</v>
      </c>
      <c r="F1539" s="62" t="str">
        <f t="shared" si="118"/>
        <v/>
      </c>
    </row>
    <row r="1540" spans="1:6">
      <c r="A1540" s="60">
        <v>153500</v>
      </c>
      <c r="B1540" s="60">
        <f t="shared" si="116"/>
        <v>3917908</v>
      </c>
      <c r="C1540" s="60">
        <f t="shared" si="119"/>
        <v>3917908</v>
      </c>
      <c r="D1540" s="61">
        <f t="shared" si="115"/>
        <v>1</v>
      </c>
      <c r="E1540" s="64">
        <f t="shared" si="117"/>
        <v>391.79076048319467</v>
      </c>
      <c r="F1540" s="62" t="str">
        <f t="shared" si="118"/>
        <v/>
      </c>
    </row>
    <row r="1541" spans="1:6">
      <c r="A1541" s="60">
        <v>153600</v>
      </c>
      <c r="B1541" s="60">
        <f t="shared" si="116"/>
        <v>3919184</v>
      </c>
      <c r="C1541" s="60">
        <f t="shared" si="119"/>
        <v>3919184</v>
      </c>
      <c r="D1541" s="61">
        <f t="shared" ref="D1541:D1604" si="120">(A1541-INDEX(兵力区间,MATCH(A1541,兵力区间,1)))/(INDEX(兵力区间,MATCH(A1541,兵力区间,1)+1)-INDEX(兵力区间,MATCH(A1541,兵力区间,1)))*((INDEX(兵力调节,MATCH(A1541,兵力区间,1)+1,2)-INDEX(兵力调节,MATCH(A1541,兵力区间,1),2)))+INDEX(兵力调节,MATCH(A1541,兵力区间,1),2)</f>
        <v>1</v>
      </c>
      <c r="E1541" s="64">
        <f t="shared" si="117"/>
        <v>391.91835884530849</v>
      </c>
      <c r="F1541" s="62" t="str">
        <f t="shared" si="118"/>
        <v/>
      </c>
    </row>
    <row r="1542" spans="1:6">
      <c r="A1542" s="60">
        <v>153700</v>
      </c>
      <c r="B1542" s="60">
        <f t="shared" si="116"/>
        <v>3920459</v>
      </c>
      <c r="C1542" s="60">
        <f t="shared" si="119"/>
        <v>3920459</v>
      </c>
      <c r="D1542" s="61">
        <f t="shared" si="120"/>
        <v>1</v>
      </c>
      <c r="E1542" s="64">
        <f t="shared" si="117"/>
        <v>392.04591567825315</v>
      </c>
      <c r="F1542" s="62" t="str">
        <f t="shared" si="118"/>
        <v/>
      </c>
    </row>
    <row r="1543" spans="1:6">
      <c r="A1543" s="60">
        <v>153800</v>
      </c>
      <c r="B1543" s="60">
        <f t="shared" ref="B1543:B1606" si="121">ROUND(D1543*E1543*10000,0)</f>
        <v>3921734</v>
      </c>
      <c r="C1543" s="60">
        <f t="shared" si="119"/>
        <v>3921734</v>
      </c>
      <c r="D1543" s="61">
        <f t="shared" si="120"/>
        <v>1</v>
      </c>
      <c r="E1543" s="64">
        <f t="shared" ref="E1543:E1606" si="122">A1543^0.5</f>
        <v>392.17343102255154</v>
      </c>
      <c r="F1543" s="62" t="str">
        <f t="shared" si="118"/>
        <v/>
      </c>
    </row>
    <row r="1544" spans="1:6">
      <c r="A1544" s="60">
        <v>153900</v>
      </c>
      <c r="B1544" s="60">
        <f t="shared" si="121"/>
        <v>3923009</v>
      </c>
      <c r="C1544" s="60">
        <f t="shared" si="119"/>
        <v>3923009</v>
      </c>
      <c r="D1544" s="61">
        <f t="shared" si="120"/>
        <v>1</v>
      </c>
      <c r="E1544" s="64">
        <f t="shared" si="122"/>
        <v>392.30090491866059</v>
      </c>
      <c r="F1544" s="62" t="str">
        <f t="shared" ref="F1544:F1607" si="123">IF(B1544&lt;B1543,1,"")</f>
        <v/>
      </c>
    </row>
    <row r="1545" spans="1:6">
      <c r="A1545" s="60">
        <v>154000</v>
      </c>
      <c r="B1545" s="60">
        <f t="shared" si="121"/>
        <v>3924283</v>
      </c>
      <c r="C1545" s="60">
        <f t="shared" si="119"/>
        <v>3924283</v>
      </c>
      <c r="D1545" s="61">
        <f t="shared" si="120"/>
        <v>1</v>
      </c>
      <c r="E1545" s="64">
        <f t="shared" si="122"/>
        <v>392.42833740697165</v>
      </c>
      <c r="F1545" s="62" t="str">
        <f t="shared" si="123"/>
        <v/>
      </c>
    </row>
    <row r="1546" spans="1:6">
      <c r="A1546" s="60">
        <v>154100</v>
      </c>
      <c r="B1546" s="60">
        <f t="shared" si="121"/>
        <v>3925557</v>
      </c>
      <c r="C1546" s="60">
        <f t="shared" si="119"/>
        <v>3925557</v>
      </c>
      <c r="D1546" s="61">
        <f t="shared" si="120"/>
        <v>1</v>
      </c>
      <c r="E1546" s="64">
        <f t="shared" si="122"/>
        <v>392.55572852781046</v>
      </c>
      <c r="F1546" s="62" t="str">
        <f t="shared" si="123"/>
        <v/>
      </c>
    </row>
    <row r="1547" spans="1:6">
      <c r="A1547" s="60">
        <v>154200</v>
      </c>
      <c r="B1547" s="60">
        <f t="shared" si="121"/>
        <v>3926831</v>
      </c>
      <c r="C1547" s="60">
        <f t="shared" ref="C1547:C1610" si="124">ROUND(D1547*E1547*10000,0)</f>
        <v>3926831</v>
      </c>
      <c r="D1547" s="61">
        <f t="shared" si="120"/>
        <v>1</v>
      </c>
      <c r="E1547" s="64">
        <f t="shared" si="122"/>
        <v>392.68307832143722</v>
      </c>
      <c r="F1547" s="62" t="str">
        <f t="shared" si="123"/>
        <v/>
      </c>
    </row>
    <row r="1548" spans="1:6">
      <c r="A1548" s="60">
        <v>154300</v>
      </c>
      <c r="B1548" s="60">
        <f t="shared" si="121"/>
        <v>3928104</v>
      </c>
      <c r="C1548" s="60">
        <f t="shared" si="124"/>
        <v>3928104</v>
      </c>
      <c r="D1548" s="61">
        <f t="shared" si="120"/>
        <v>1</v>
      </c>
      <c r="E1548" s="64">
        <f t="shared" si="122"/>
        <v>392.81038682804711</v>
      </c>
      <c r="F1548" s="62" t="str">
        <f t="shared" si="123"/>
        <v/>
      </c>
    </row>
    <row r="1549" spans="1:6">
      <c r="A1549" s="60">
        <v>154400</v>
      </c>
      <c r="B1549" s="60">
        <f t="shared" si="121"/>
        <v>3929377</v>
      </c>
      <c r="C1549" s="60">
        <f t="shared" si="124"/>
        <v>3929377</v>
      </c>
      <c r="D1549" s="61">
        <f t="shared" si="120"/>
        <v>1</v>
      </c>
      <c r="E1549" s="64">
        <f t="shared" si="122"/>
        <v>392.93765408777</v>
      </c>
      <c r="F1549" s="62" t="str">
        <f t="shared" si="123"/>
        <v/>
      </c>
    </row>
    <row r="1550" spans="1:6">
      <c r="A1550" s="60">
        <v>154500</v>
      </c>
      <c r="B1550" s="60">
        <f t="shared" si="121"/>
        <v>3930649</v>
      </c>
      <c r="C1550" s="60">
        <f t="shared" si="124"/>
        <v>3930649</v>
      </c>
      <c r="D1550" s="61">
        <f t="shared" si="120"/>
        <v>1</v>
      </c>
      <c r="E1550" s="64">
        <f t="shared" si="122"/>
        <v>393.06488014067094</v>
      </c>
      <c r="F1550" s="62" t="str">
        <f t="shared" si="123"/>
        <v/>
      </c>
    </row>
    <row r="1551" spans="1:6">
      <c r="A1551" s="60">
        <v>154600</v>
      </c>
      <c r="B1551" s="60">
        <f t="shared" si="121"/>
        <v>3931921</v>
      </c>
      <c r="C1551" s="60">
        <f t="shared" si="124"/>
        <v>3931921</v>
      </c>
      <c r="D1551" s="61">
        <f t="shared" si="120"/>
        <v>1</v>
      </c>
      <c r="E1551" s="64">
        <f t="shared" si="122"/>
        <v>393.19206502675002</v>
      </c>
      <c r="F1551" s="62" t="str">
        <f t="shared" si="123"/>
        <v/>
      </c>
    </row>
    <row r="1552" spans="1:6">
      <c r="A1552" s="60">
        <v>154700</v>
      </c>
      <c r="B1552" s="60">
        <f t="shared" si="121"/>
        <v>3933192</v>
      </c>
      <c r="C1552" s="60">
        <f t="shared" si="124"/>
        <v>3933192</v>
      </c>
      <c r="D1552" s="61">
        <f t="shared" si="120"/>
        <v>1</v>
      </c>
      <c r="E1552" s="64">
        <f t="shared" si="122"/>
        <v>393.31920878594269</v>
      </c>
      <c r="F1552" s="62" t="str">
        <f t="shared" si="123"/>
        <v/>
      </c>
    </row>
    <row r="1553" spans="1:6">
      <c r="A1553" s="60">
        <v>154800</v>
      </c>
      <c r="B1553" s="60">
        <f t="shared" si="121"/>
        <v>3934463</v>
      </c>
      <c r="C1553" s="60">
        <f t="shared" si="124"/>
        <v>3934463</v>
      </c>
      <c r="D1553" s="61">
        <f t="shared" si="120"/>
        <v>1</v>
      </c>
      <c r="E1553" s="64">
        <f t="shared" si="122"/>
        <v>393.44631145812002</v>
      </c>
      <c r="F1553" s="62" t="str">
        <f t="shared" si="123"/>
        <v/>
      </c>
    </row>
    <row r="1554" spans="1:6">
      <c r="A1554" s="60">
        <v>154900</v>
      </c>
      <c r="B1554" s="60">
        <f t="shared" si="121"/>
        <v>3935734</v>
      </c>
      <c r="C1554" s="60">
        <f t="shared" si="124"/>
        <v>3935734</v>
      </c>
      <c r="D1554" s="61">
        <f t="shared" si="120"/>
        <v>1</v>
      </c>
      <c r="E1554" s="64">
        <f t="shared" si="122"/>
        <v>393.57337308308854</v>
      </c>
      <c r="F1554" s="62" t="str">
        <f t="shared" si="123"/>
        <v/>
      </c>
    </row>
    <row r="1555" spans="1:6">
      <c r="A1555" s="60">
        <v>155000</v>
      </c>
      <c r="B1555" s="60">
        <f t="shared" si="121"/>
        <v>3937004</v>
      </c>
      <c r="C1555" s="60">
        <f t="shared" si="124"/>
        <v>3937004</v>
      </c>
      <c r="D1555" s="61">
        <f t="shared" si="120"/>
        <v>1</v>
      </c>
      <c r="E1555" s="64">
        <f t="shared" si="122"/>
        <v>393.70039370059055</v>
      </c>
      <c r="F1555" s="62" t="str">
        <f t="shared" si="123"/>
        <v/>
      </c>
    </row>
    <row r="1556" spans="1:6">
      <c r="A1556" s="60">
        <v>155100</v>
      </c>
      <c r="B1556" s="60">
        <f t="shared" si="121"/>
        <v>3938274</v>
      </c>
      <c r="C1556" s="60">
        <f t="shared" si="124"/>
        <v>3938274</v>
      </c>
      <c r="D1556" s="61">
        <f t="shared" si="120"/>
        <v>1</v>
      </c>
      <c r="E1556" s="64">
        <f t="shared" si="122"/>
        <v>393.82737335030436</v>
      </c>
      <c r="F1556" s="62" t="str">
        <f t="shared" si="123"/>
        <v/>
      </c>
    </row>
    <row r="1557" spans="1:6">
      <c r="A1557" s="60">
        <v>155200</v>
      </c>
      <c r="B1557" s="60">
        <f t="shared" si="121"/>
        <v>3939543</v>
      </c>
      <c r="C1557" s="60">
        <f t="shared" si="124"/>
        <v>3939543</v>
      </c>
      <c r="D1557" s="61">
        <f t="shared" si="120"/>
        <v>1</v>
      </c>
      <c r="E1557" s="64">
        <f t="shared" si="122"/>
        <v>393.95431207184419</v>
      </c>
      <c r="F1557" s="62" t="str">
        <f t="shared" si="123"/>
        <v/>
      </c>
    </row>
    <row r="1558" spans="1:6">
      <c r="A1558" s="60">
        <v>155300</v>
      </c>
      <c r="B1558" s="60">
        <f t="shared" si="121"/>
        <v>3940812</v>
      </c>
      <c r="C1558" s="60">
        <f t="shared" si="124"/>
        <v>3940812</v>
      </c>
      <c r="D1558" s="61">
        <f t="shared" si="120"/>
        <v>1</v>
      </c>
      <c r="E1558" s="64">
        <f t="shared" si="122"/>
        <v>394.08120990476061</v>
      </c>
      <c r="F1558" s="62" t="str">
        <f t="shared" si="123"/>
        <v/>
      </c>
    </row>
    <row r="1559" spans="1:6">
      <c r="A1559" s="60">
        <v>155400</v>
      </c>
      <c r="B1559" s="60">
        <f t="shared" si="121"/>
        <v>3942081</v>
      </c>
      <c r="C1559" s="60">
        <f t="shared" si="124"/>
        <v>3942081</v>
      </c>
      <c r="D1559" s="61">
        <f t="shared" si="120"/>
        <v>1</v>
      </c>
      <c r="E1559" s="64">
        <f t="shared" si="122"/>
        <v>394.20806688854049</v>
      </c>
      <c r="F1559" s="62" t="str">
        <f t="shared" si="123"/>
        <v/>
      </c>
    </row>
    <row r="1560" spans="1:6">
      <c r="A1560" s="60">
        <v>155500</v>
      </c>
      <c r="B1560" s="60">
        <f t="shared" si="121"/>
        <v>3943349</v>
      </c>
      <c r="C1560" s="60">
        <f t="shared" si="124"/>
        <v>3943349</v>
      </c>
      <c r="D1560" s="61">
        <f t="shared" si="120"/>
        <v>1</v>
      </c>
      <c r="E1560" s="64">
        <f t="shared" si="122"/>
        <v>394.3348830626071</v>
      </c>
      <c r="F1560" s="62" t="str">
        <f t="shared" si="123"/>
        <v/>
      </c>
    </row>
    <row r="1561" spans="1:6">
      <c r="A1561" s="60">
        <v>155600</v>
      </c>
      <c r="B1561" s="60">
        <f t="shared" si="121"/>
        <v>3944617</v>
      </c>
      <c r="C1561" s="60">
        <f t="shared" si="124"/>
        <v>3944617</v>
      </c>
      <c r="D1561" s="61">
        <f t="shared" si="120"/>
        <v>1</v>
      </c>
      <c r="E1561" s="64">
        <f t="shared" si="122"/>
        <v>394.46165846632039</v>
      </c>
      <c r="F1561" s="62" t="str">
        <f t="shared" si="123"/>
        <v/>
      </c>
    </row>
    <row r="1562" spans="1:6">
      <c r="A1562" s="60">
        <v>155700</v>
      </c>
      <c r="B1562" s="60">
        <f t="shared" si="121"/>
        <v>3945884</v>
      </c>
      <c r="C1562" s="60">
        <f t="shared" si="124"/>
        <v>3945884</v>
      </c>
      <c r="D1562" s="61">
        <f t="shared" si="120"/>
        <v>1</v>
      </c>
      <c r="E1562" s="64">
        <f t="shared" si="122"/>
        <v>394.58839313897715</v>
      </c>
      <c r="F1562" s="62" t="str">
        <f t="shared" si="123"/>
        <v/>
      </c>
    </row>
    <row r="1563" spans="1:6">
      <c r="A1563" s="60">
        <v>155800</v>
      </c>
      <c r="B1563" s="60">
        <f t="shared" si="121"/>
        <v>3947151</v>
      </c>
      <c r="C1563" s="60">
        <f t="shared" si="124"/>
        <v>3947151</v>
      </c>
      <c r="D1563" s="61">
        <f t="shared" si="120"/>
        <v>1</v>
      </c>
      <c r="E1563" s="64">
        <f t="shared" si="122"/>
        <v>394.71508711981102</v>
      </c>
      <c r="F1563" s="62" t="str">
        <f t="shared" si="123"/>
        <v/>
      </c>
    </row>
    <row r="1564" spans="1:6">
      <c r="A1564" s="60">
        <v>155900</v>
      </c>
      <c r="B1564" s="60">
        <f t="shared" si="121"/>
        <v>3948417</v>
      </c>
      <c r="C1564" s="60">
        <f t="shared" si="124"/>
        <v>3948417</v>
      </c>
      <c r="D1564" s="61">
        <f t="shared" si="120"/>
        <v>1</v>
      </c>
      <c r="E1564" s="64">
        <f t="shared" si="122"/>
        <v>394.84174044799266</v>
      </c>
      <c r="F1564" s="62" t="str">
        <f t="shared" si="123"/>
        <v/>
      </c>
    </row>
    <row r="1565" spans="1:6">
      <c r="A1565" s="60">
        <v>156000</v>
      </c>
      <c r="B1565" s="60">
        <f t="shared" si="121"/>
        <v>3949684</v>
      </c>
      <c r="C1565" s="60">
        <f t="shared" si="124"/>
        <v>3949684</v>
      </c>
      <c r="D1565" s="61">
        <f t="shared" si="120"/>
        <v>1</v>
      </c>
      <c r="E1565" s="64">
        <f t="shared" si="122"/>
        <v>394.96835316262997</v>
      </c>
      <c r="F1565" s="62" t="str">
        <f t="shared" si="123"/>
        <v/>
      </c>
    </row>
    <row r="1566" spans="1:6">
      <c r="A1566" s="60">
        <v>156100</v>
      </c>
      <c r="B1566" s="60">
        <f t="shared" si="121"/>
        <v>3950949</v>
      </c>
      <c r="C1566" s="60">
        <f t="shared" si="124"/>
        <v>3950949</v>
      </c>
      <c r="D1566" s="61">
        <f t="shared" si="120"/>
        <v>1</v>
      </c>
      <c r="E1566" s="64">
        <f t="shared" si="122"/>
        <v>395.09492530276822</v>
      </c>
      <c r="F1566" s="62" t="str">
        <f t="shared" si="123"/>
        <v/>
      </c>
    </row>
    <row r="1567" spans="1:6">
      <c r="A1567" s="60">
        <v>156200</v>
      </c>
      <c r="B1567" s="60">
        <f t="shared" si="121"/>
        <v>3952215</v>
      </c>
      <c r="C1567" s="60">
        <f t="shared" si="124"/>
        <v>3952215</v>
      </c>
      <c r="D1567" s="61">
        <f t="shared" si="120"/>
        <v>1</v>
      </c>
      <c r="E1567" s="64">
        <f t="shared" si="122"/>
        <v>395.22145690739006</v>
      </c>
      <c r="F1567" s="62" t="str">
        <f t="shared" si="123"/>
        <v/>
      </c>
    </row>
    <row r="1568" spans="1:6">
      <c r="A1568" s="60">
        <v>156300</v>
      </c>
      <c r="B1568" s="60">
        <f t="shared" si="121"/>
        <v>3953479</v>
      </c>
      <c r="C1568" s="60">
        <f t="shared" si="124"/>
        <v>3953479</v>
      </c>
      <c r="D1568" s="61">
        <f t="shared" si="120"/>
        <v>1</v>
      </c>
      <c r="E1568" s="64">
        <f t="shared" si="122"/>
        <v>395.34794801541591</v>
      </c>
      <c r="F1568" s="62" t="str">
        <f t="shared" si="123"/>
        <v/>
      </c>
    </row>
    <row r="1569" spans="1:6">
      <c r="A1569" s="60">
        <v>156400</v>
      </c>
      <c r="B1569" s="60">
        <f t="shared" si="121"/>
        <v>3954744</v>
      </c>
      <c r="C1569" s="60">
        <f t="shared" si="124"/>
        <v>3954744</v>
      </c>
      <c r="D1569" s="61">
        <f t="shared" si="120"/>
        <v>1</v>
      </c>
      <c r="E1569" s="64">
        <f t="shared" si="122"/>
        <v>395.47439866570375</v>
      </c>
      <c r="F1569" s="62" t="str">
        <f t="shared" si="123"/>
        <v/>
      </c>
    </row>
    <row r="1570" spans="1:6">
      <c r="A1570" s="60">
        <v>156500</v>
      </c>
      <c r="B1570" s="60">
        <f t="shared" si="121"/>
        <v>3956008</v>
      </c>
      <c r="C1570" s="60">
        <f t="shared" si="124"/>
        <v>3956008</v>
      </c>
      <c r="D1570" s="61">
        <f t="shared" si="120"/>
        <v>1</v>
      </c>
      <c r="E1570" s="64">
        <f t="shared" si="122"/>
        <v>395.60080889704966</v>
      </c>
      <c r="F1570" s="62" t="str">
        <f t="shared" si="123"/>
        <v/>
      </c>
    </row>
    <row r="1571" spans="1:6">
      <c r="A1571" s="60">
        <v>156600</v>
      </c>
      <c r="B1571" s="60">
        <f t="shared" si="121"/>
        <v>3957272</v>
      </c>
      <c r="C1571" s="60">
        <f t="shared" si="124"/>
        <v>3957272</v>
      </c>
      <c r="D1571" s="61">
        <f t="shared" si="120"/>
        <v>1</v>
      </c>
      <c r="E1571" s="64">
        <f t="shared" si="122"/>
        <v>395.72717874818755</v>
      </c>
      <c r="F1571" s="62" t="str">
        <f t="shared" si="123"/>
        <v/>
      </c>
    </row>
    <row r="1572" spans="1:6">
      <c r="A1572" s="60">
        <v>156700</v>
      </c>
      <c r="B1572" s="60">
        <f t="shared" si="121"/>
        <v>3958535</v>
      </c>
      <c r="C1572" s="60">
        <f t="shared" si="124"/>
        <v>3958535</v>
      </c>
      <c r="D1572" s="61">
        <f t="shared" si="120"/>
        <v>1</v>
      </c>
      <c r="E1572" s="64">
        <f t="shared" si="122"/>
        <v>395.85350825778971</v>
      </c>
      <c r="F1572" s="62" t="str">
        <f t="shared" si="123"/>
        <v/>
      </c>
    </row>
    <row r="1573" spans="1:6">
      <c r="A1573" s="60">
        <v>156800</v>
      </c>
      <c r="B1573" s="60">
        <f t="shared" si="121"/>
        <v>3959798</v>
      </c>
      <c r="C1573" s="60">
        <f t="shared" si="124"/>
        <v>3959798</v>
      </c>
      <c r="D1573" s="61">
        <f t="shared" si="120"/>
        <v>1</v>
      </c>
      <c r="E1573" s="64">
        <f t="shared" si="122"/>
        <v>395.97979746446663</v>
      </c>
      <c r="F1573" s="62" t="str">
        <f t="shared" si="123"/>
        <v/>
      </c>
    </row>
    <row r="1574" spans="1:6">
      <c r="A1574" s="60">
        <v>156900</v>
      </c>
      <c r="B1574" s="60">
        <f t="shared" si="121"/>
        <v>3961060</v>
      </c>
      <c r="C1574" s="60">
        <f t="shared" si="124"/>
        <v>3961060</v>
      </c>
      <c r="D1574" s="61">
        <f t="shared" si="120"/>
        <v>1</v>
      </c>
      <c r="E1574" s="64">
        <f t="shared" si="122"/>
        <v>396.10604640676718</v>
      </c>
      <c r="F1574" s="62" t="str">
        <f t="shared" si="123"/>
        <v/>
      </c>
    </row>
    <row r="1575" spans="1:6">
      <c r="A1575" s="60">
        <v>157000</v>
      </c>
      <c r="B1575" s="60">
        <f t="shared" si="121"/>
        <v>3962323</v>
      </c>
      <c r="C1575" s="60">
        <f t="shared" si="124"/>
        <v>3962323</v>
      </c>
      <c r="D1575" s="61">
        <f t="shared" si="120"/>
        <v>1</v>
      </c>
      <c r="E1575" s="64">
        <f t="shared" si="122"/>
        <v>396.23225512317896</v>
      </c>
      <c r="F1575" s="62" t="str">
        <f t="shared" si="123"/>
        <v/>
      </c>
    </row>
    <row r="1576" spans="1:6">
      <c r="A1576" s="60">
        <v>157100</v>
      </c>
      <c r="B1576" s="60">
        <f t="shared" si="121"/>
        <v>3963584</v>
      </c>
      <c r="C1576" s="60">
        <f t="shared" si="124"/>
        <v>3963584</v>
      </c>
      <c r="D1576" s="61">
        <f t="shared" si="120"/>
        <v>1</v>
      </c>
      <c r="E1576" s="64">
        <f t="shared" si="122"/>
        <v>396.35842365212829</v>
      </c>
      <c r="F1576" s="62" t="str">
        <f t="shared" si="123"/>
        <v/>
      </c>
    </row>
    <row r="1577" spans="1:6">
      <c r="A1577" s="60">
        <v>157200</v>
      </c>
      <c r="B1577" s="60">
        <f t="shared" si="121"/>
        <v>3964846</v>
      </c>
      <c r="C1577" s="60">
        <f t="shared" si="124"/>
        <v>3964846</v>
      </c>
      <c r="D1577" s="61">
        <f t="shared" si="120"/>
        <v>1</v>
      </c>
      <c r="E1577" s="64">
        <f t="shared" si="122"/>
        <v>396.48455203198017</v>
      </c>
      <c r="F1577" s="62" t="str">
        <f t="shared" si="123"/>
        <v/>
      </c>
    </row>
    <row r="1578" spans="1:6">
      <c r="A1578" s="60">
        <v>157300</v>
      </c>
      <c r="B1578" s="60">
        <f t="shared" si="121"/>
        <v>3966106</v>
      </c>
      <c r="C1578" s="60">
        <f t="shared" si="124"/>
        <v>3966106</v>
      </c>
      <c r="D1578" s="61">
        <f t="shared" si="120"/>
        <v>1</v>
      </c>
      <c r="E1578" s="64">
        <f t="shared" si="122"/>
        <v>396.61064030103881</v>
      </c>
      <c r="F1578" s="62" t="str">
        <f t="shared" si="123"/>
        <v/>
      </c>
    </row>
    <row r="1579" spans="1:6">
      <c r="A1579" s="60">
        <v>157400</v>
      </c>
      <c r="B1579" s="60">
        <f t="shared" si="121"/>
        <v>3967367</v>
      </c>
      <c r="C1579" s="60">
        <f t="shared" si="124"/>
        <v>3967367</v>
      </c>
      <c r="D1579" s="61">
        <f t="shared" si="120"/>
        <v>1</v>
      </c>
      <c r="E1579" s="64">
        <f t="shared" si="122"/>
        <v>396.73668849754745</v>
      </c>
      <c r="F1579" s="62" t="str">
        <f t="shared" si="123"/>
        <v/>
      </c>
    </row>
    <row r="1580" spans="1:6">
      <c r="A1580" s="60">
        <v>157500</v>
      </c>
      <c r="B1580" s="60">
        <f t="shared" si="121"/>
        <v>3968627</v>
      </c>
      <c r="C1580" s="60">
        <f t="shared" si="124"/>
        <v>3968627</v>
      </c>
      <c r="D1580" s="61">
        <f t="shared" si="120"/>
        <v>1</v>
      </c>
      <c r="E1580" s="64">
        <f t="shared" si="122"/>
        <v>396.86269665968859</v>
      </c>
      <c r="F1580" s="62" t="str">
        <f t="shared" si="123"/>
        <v/>
      </c>
    </row>
    <row r="1581" spans="1:6">
      <c r="A1581" s="60">
        <v>157600</v>
      </c>
      <c r="B1581" s="60">
        <f t="shared" si="121"/>
        <v>3969887</v>
      </c>
      <c r="C1581" s="60">
        <f t="shared" si="124"/>
        <v>3969887</v>
      </c>
      <c r="D1581" s="61">
        <f t="shared" si="120"/>
        <v>1</v>
      </c>
      <c r="E1581" s="64">
        <f t="shared" si="122"/>
        <v>396.98866482558418</v>
      </c>
      <c r="F1581" s="62" t="str">
        <f t="shared" si="123"/>
        <v/>
      </c>
    </row>
    <row r="1582" spans="1:6">
      <c r="A1582" s="60">
        <v>157700</v>
      </c>
      <c r="B1582" s="60">
        <f t="shared" si="121"/>
        <v>3971146</v>
      </c>
      <c r="C1582" s="60">
        <f t="shared" si="124"/>
        <v>3971146</v>
      </c>
      <c r="D1582" s="61">
        <f t="shared" si="120"/>
        <v>1</v>
      </c>
      <c r="E1582" s="64">
        <f t="shared" si="122"/>
        <v>397.11459303329559</v>
      </c>
      <c r="F1582" s="62" t="str">
        <f t="shared" si="123"/>
        <v/>
      </c>
    </row>
    <row r="1583" spans="1:6">
      <c r="A1583" s="60">
        <v>157800</v>
      </c>
      <c r="B1583" s="60">
        <f t="shared" si="121"/>
        <v>3972405</v>
      </c>
      <c r="C1583" s="60">
        <f t="shared" si="124"/>
        <v>3972405</v>
      </c>
      <c r="D1583" s="61">
        <f t="shared" si="120"/>
        <v>1</v>
      </c>
      <c r="E1583" s="64">
        <f t="shared" si="122"/>
        <v>397.24048132082407</v>
      </c>
      <c r="F1583" s="62" t="str">
        <f t="shared" si="123"/>
        <v/>
      </c>
    </row>
    <row r="1584" spans="1:6">
      <c r="A1584" s="60">
        <v>157900</v>
      </c>
      <c r="B1584" s="60">
        <f t="shared" si="121"/>
        <v>3973663</v>
      </c>
      <c r="C1584" s="60">
        <f t="shared" si="124"/>
        <v>3973663</v>
      </c>
      <c r="D1584" s="61">
        <f t="shared" si="120"/>
        <v>1</v>
      </c>
      <c r="E1584" s="64">
        <f t="shared" si="122"/>
        <v>397.36632972611056</v>
      </c>
      <c r="F1584" s="62" t="str">
        <f t="shared" si="123"/>
        <v/>
      </c>
    </row>
    <row r="1585" spans="1:6">
      <c r="A1585" s="60">
        <v>158000</v>
      </c>
      <c r="B1585" s="60">
        <f t="shared" si="121"/>
        <v>3974921</v>
      </c>
      <c r="C1585" s="60">
        <f t="shared" si="124"/>
        <v>3974921</v>
      </c>
      <c r="D1585" s="61">
        <f t="shared" si="120"/>
        <v>1</v>
      </c>
      <c r="E1585" s="64">
        <f t="shared" si="122"/>
        <v>397.4921382870358</v>
      </c>
      <c r="F1585" s="62" t="str">
        <f t="shared" si="123"/>
        <v/>
      </c>
    </row>
    <row r="1586" spans="1:6">
      <c r="A1586" s="60">
        <v>158100</v>
      </c>
      <c r="B1586" s="60">
        <f t="shared" si="121"/>
        <v>3976179</v>
      </c>
      <c r="C1586" s="60">
        <f t="shared" si="124"/>
        <v>3976179</v>
      </c>
      <c r="D1586" s="61">
        <f t="shared" si="120"/>
        <v>1</v>
      </c>
      <c r="E1586" s="64">
        <f t="shared" si="122"/>
        <v>397.61790704142084</v>
      </c>
      <c r="F1586" s="62" t="str">
        <f t="shared" si="123"/>
        <v/>
      </c>
    </row>
    <row r="1587" spans="1:6">
      <c r="A1587" s="60">
        <v>158200</v>
      </c>
      <c r="B1587" s="60">
        <f t="shared" si="121"/>
        <v>3977436</v>
      </c>
      <c r="C1587" s="60">
        <f t="shared" si="124"/>
        <v>3977436</v>
      </c>
      <c r="D1587" s="61">
        <f t="shared" si="120"/>
        <v>1</v>
      </c>
      <c r="E1587" s="64">
        <f t="shared" si="122"/>
        <v>397.74363602702681</v>
      </c>
      <c r="F1587" s="62" t="str">
        <f t="shared" si="123"/>
        <v/>
      </c>
    </row>
    <row r="1588" spans="1:6">
      <c r="A1588" s="60">
        <v>158300</v>
      </c>
      <c r="B1588" s="60">
        <f t="shared" si="121"/>
        <v>3978693</v>
      </c>
      <c r="C1588" s="60">
        <f t="shared" si="124"/>
        <v>3978693</v>
      </c>
      <c r="D1588" s="61">
        <f t="shared" si="120"/>
        <v>1</v>
      </c>
      <c r="E1588" s="64">
        <f t="shared" si="122"/>
        <v>397.86932528155523</v>
      </c>
      <c r="F1588" s="62" t="str">
        <f t="shared" si="123"/>
        <v/>
      </c>
    </row>
    <row r="1589" spans="1:6">
      <c r="A1589" s="60">
        <v>158400</v>
      </c>
      <c r="B1589" s="60">
        <f t="shared" si="121"/>
        <v>3979950</v>
      </c>
      <c r="C1589" s="60">
        <f t="shared" si="124"/>
        <v>3979950</v>
      </c>
      <c r="D1589" s="61">
        <f t="shared" si="120"/>
        <v>1</v>
      </c>
      <c r="E1589" s="64">
        <f t="shared" si="122"/>
        <v>397.99497484264799</v>
      </c>
      <c r="F1589" s="62" t="str">
        <f t="shared" si="123"/>
        <v/>
      </c>
    </row>
    <row r="1590" spans="1:6">
      <c r="A1590" s="60">
        <v>158500</v>
      </c>
      <c r="B1590" s="60">
        <f t="shared" si="121"/>
        <v>3981206</v>
      </c>
      <c r="C1590" s="60">
        <f t="shared" si="124"/>
        <v>3981206</v>
      </c>
      <c r="D1590" s="61">
        <f t="shared" si="120"/>
        <v>1</v>
      </c>
      <c r="E1590" s="64">
        <f t="shared" si="122"/>
        <v>398.12058474788768</v>
      </c>
      <c r="F1590" s="62" t="str">
        <f t="shared" si="123"/>
        <v/>
      </c>
    </row>
    <row r="1591" spans="1:6">
      <c r="A1591" s="60">
        <v>158600</v>
      </c>
      <c r="B1591" s="60">
        <f t="shared" si="121"/>
        <v>3982462</v>
      </c>
      <c r="C1591" s="60">
        <f t="shared" si="124"/>
        <v>3982462</v>
      </c>
      <c r="D1591" s="61">
        <f t="shared" si="120"/>
        <v>1</v>
      </c>
      <c r="E1591" s="64">
        <f t="shared" si="122"/>
        <v>398.24615503479754</v>
      </c>
      <c r="F1591" s="62" t="str">
        <f t="shared" si="123"/>
        <v/>
      </c>
    </row>
    <row r="1592" spans="1:6">
      <c r="A1592" s="60">
        <v>158700</v>
      </c>
      <c r="B1592" s="60">
        <f t="shared" si="121"/>
        <v>3983717</v>
      </c>
      <c r="C1592" s="60">
        <f t="shared" si="124"/>
        <v>3983717</v>
      </c>
      <c r="D1592" s="61">
        <f t="shared" si="120"/>
        <v>1</v>
      </c>
      <c r="E1592" s="64">
        <f t="shared" si="122"/>
        <v>398.37168574084177</v>
      </c>
      <c r="F1592" s="62" t="str">
        <f t="shared" si="123"/>
        <v/>
      </c>
    </row>
    <row r="1593" spans="1:6">
      <c r="A1593" s="60">
        <v>158800</v>
      </c>
      <c r="B1593" s="60">
        <f t="shared" si="121"/>
        <v>3984972</v>
      </c>
      <c r="C1593" s="60">
        <f t="shared" si="124"/>
        <v>3984972</v>
      </c>
      <c r="D1593" s="61">
        <f t="shared" si="120"/>
        <v>1</v>
      </c>
      <c r="E1593" s="64">
        <f t="shared" si="122"/>
        <v>398.4971769034255</v>
      </c>
      <c r="F1593" s="62" t="str">
        <f t="shared" si="123"/>
        <v/>
      </c>
    </row>
    <row r="1594" spans="1:6">
      <c r="A1594" s="60">
        <v>158900</v>
      </c>
      <c r="B1594" s="60">
        <f t="shared" si="121"/>
        <v>3986226</v>
      </c>
      <c r="C1594" s="60">
        <f t="shared" si="124"/>
        <v>3986226</v>
      </c>
      <c r="D1594" s="61">
        <f t="shared" si="120"/>
        <v>1</v>
      </c>
      <c r="E1594" s="64">
        <f t="shared" si="122"/>
        <v>398.62262855989496</v>
      </c>
      <c r="F1594" s="62" t="str">
        <f t="shared" si="123"/>
        <v/>
      </c>
    </row>
    <row r="1595" spans="1:6">
      <c r="A1595" s="60">
        <v>159000</v>
      </c>
      <c r="B1595" s="60">
        <f t="shared" si="121"/>
        <v>3987480</v>
      </c>
      <c r="C1595" s="60">
        <f t="shared" si="124"/>
        <v>3987480</v>
      </c>
      <c r="D1595" s="61">
        <f t="shared" si="120"/>
        <v>1</v>
      </c>
      <c r="E1595" s="64">
        <f t="shared" si="122"/>
        <v>398.74804074753774</v>
      </c>
      <c r="F1595" s="62" t="str">
        <f t="shared" si="123"/>
        <v/>
      </c>
    </row>
    <row r="1596" spans="1:6">
      <c r="A1596" s="60">
        <v>159100</v>
      </c>
      <c r="B1596" s="60">
        <f t="shared" si="121"/>
        <v>3988734</v>
      </c>
      <c r="C1596" s="60">
        <f t="shared" si="124"/>
        <v>3988734</v>
      </c>
      <c r="D1596" s="61">
        <f t="shared" si="120"/>
        <v>1</v>
      </c>
      <c r="E1596" s="64">
        <f t="shared" si="122"/>
        <v>398.87341350358264</v>
      </c>
      <c r="F1596" s="62" t="str">
        <f t="shared" si="123"/>
        <v/>
      </c>
    </row>
    <row r="1597" spans="1:6">
      <c r="A1597" s="60">
        <v>159200</v>
      </c>
      <c r="B1597" s="60">
        <f t="shared" si="121"/>
        <v>3989987</v>
      </c>
      <c r="C1597" s="60">
        <f t="shared" si="124"/>
        <v>3989987</v>
      </c>
      <c r="D1597" s="61">
        <f t="shared" si="120"/>
        <v>1</v>
      </c>
      <c r="E1597" s="64">
        <f t="shared" si="122"/>
        <v>398.99874686520008</v>
      </c>
      <c r="F1597" s="62" t="str">
        <f t="shared" si="123"/>
        <v/>
      </c>
    </row>
    <row r="1598" spans="1:6">
      <c r="A1598" s="60">
        <v>159300</v>
      </c>
      <c r="B1598" s="60">
        <f t="shared" si="121"/>
        <v>3991240</v>
      </c>
      <c r="C1598" s="60">
        <f t="shared" si="124"/>
        <v>3991240</v>
      </c>
      <c r="D1598" s="61">
        <f t="shared" si="120"/>
        <v>1</v>
      </c>
      <c r="E1598" s="64">
        <f t="shared" si="122"/>
        <v>399.1240408695021</v>
      </c>
      <c r="F1598" s="62" t="str">
        <f t="shared" si="123"/>
        <v/>
      </c>
    </row>
    <row r="1599" spans="1:6">
      <c r="A1599" s="60">
        <v>159400</v>
      </c>
      <c r="B1599" s="60">
        <f t="shared" si="121"/>
        <v>3992493</v>
      </c>
      <c r="C1599" s="60">
        <f t="shared" si="124"/>
        <v>3992493</v>
      </c>
      <c r="D1599" s="61">
        <f t="shared" si="120"/>
        <v>1</v>
      </c>
      <c r="E1599" s="64">
        <f t="shared" si="122"/>
        <v>399.24929555354259</v>
      </c>
      <c r="F1599" s="62" t="str">
        <f t="shared" si="123"/>
        <v/>
      </c>
    </row>
    <row r="1600" spans="1:6">
      <c r="A1600" s="60">
        <v>159500</v>
      </c>
      <c r="B1600" s="60">
        <f t="shared" si="121"/>
        <v>3993745</v>
      </c>
      <c r="C1600" s="60">
        <f t="shared" si="124"/>
        <v>3993745</v>
      </c>
      <c r="D1600" s="61">
        <f t="shared" si="120"/>
        <v>1</v>
      </c>
      <c r="E1600" s="64">
        <f t="shared" si="122"/>
        <v>399.37451095431715</v>
      </c>
      <c r="F1600" s="62" t="str">
        <f t="shared" si="123"/>
        <v/>
      </c>
    </row>
    <row r="1601" spans="1:6">
      <c r="A1601" s="60">
        <v>159600</v>
      </c>
      <c r="B1601" s="60">
        <f t="shared" si="121"/>
        <v>3994997</v>
      </c>
      <c r="C1601" s="60">
        <f t="shared" si="124"/>
        <v>3994997</v>
      </c>
      <c r="D1601" s="61">
        <f t="shared" si="120"/>
        <v>1</v>
      </c>
      <c r="E1601" s="64">
        <f t="shared" si="122"/>
        <v>399.49968710876357</v>
      </c>
      <c r="F1601" s="62" t="str">
        <f t="shared" si="123"/>
        <v/>
      </c>
    </row>
    <row r="1602" spans="1:6">
      <c r="A1602" s="60">
        <v>159700</v>
      </c>
      <c r="B1602" s="60">
        <f t="shared" si="121"/>
        <v>3996248</v>
      </c>
      <c r="C1602" s="60">
        <f t="shared" si="124"/>
        <v>3996248</v>
      </c>
      <c r="D1602" s="61">
        <f t="shared" si="120"/>
        <v>1</v>
      </c>
      <c r="E1602" s="64">
        <f t="shared" si="122"/>
        <v>399.6248240537617</v>
      </c>
      <c r="F1602" s="62" t="str">
        <f t="shared" si="123"/>
        <v/>
      </c>
    </row>
    <row r="1603" spans="1:6">
      <c r="A1603" s="60">
        <v>159800</v>
      </c>
      <c r="B1603" s="60">
        <f t="shared" si="121"/>
        <v>3997499</v>
      </c>
      <c r="C1603" s="60">
        <f t="shared" si="124"/>
        <v>3997499</v>
      </c>
      <c r="D1603" s="61">
        <f t="shared" si="120"/>
        <v>1</v>
      </c>
      <c r="E1603" s="64">
        <f t="shared" si="122"/>
        <v>399.74992182613369</v>
      </c>
      <c r="F1603" s="62" t="str">
        <f t="shared" si="123"/>
        <v/>
      </c>
    </row>
    <row r="1604" spans="1:6">
      <c r="A1604" s="60">
        <v>159900</v>
      </c>
      <c r="B1604" s="60">
        <f t="shared" si="121"/>
        <v>3998750</v>
      </c>
      <c r="C1604" s="60">
        <f t="shared" si="124"/>
        <v>3998750</v>
      </c>
      <c r="D1604" s="61">
        <f t="shared" si="120"/>
        <v>1</v>
      </c>
      <c r="E1604" s="64">
        <f t="shared" si="122"/>
        <v>399.87498046264409</v>
      </c>
      <c r="F1604" s="62" t="str">
        <f t="shared" si="123"/>
        <v/>
      </c>
    </row>
    <row r="1605" spans="1:6">
      <c r="A1605" s="60">
        <v>160000</v>
      </c>
      <c r="B1605" s="60">
        <f t="shared" si="121"/>
        <v>4000000</v>
      </c>
      <c r="C1605" s="60">
        <f t="shared" si="124"/>
        <v>4000000</v>
      </c>
      <c r="D1605" s="61">
        <f t="shared" ref="D1605:D1668" si="125">(A1605-INDEX(兵力区间,MATCH(A1605,兵力区间,1)))/(INDEX(兵力区间,MATCH(A1605,兵力区间,1)+1)-INDEX(兵力区间,MATCH(A1605,兵力区间,1)))*((INDEX(兵力调节,MATCH(A1605,兵力区间,1)+1,2)-INDEX(兵力调节,MATCH(A1605,兵力区间,1),2)))+INDEX(兵力调节,MATCH(A1605,兵力区间,1),2)</f>
        <v>1</v>
      </c>
      <c r="E1605" s="64">
        <f t="shared" si="122"/>
        <v>400</v>
      </c>
      <c r="F1605" s="62" t="str">
        <f t="shared" si="123"/>
        <v/>
      </c>
    </row>
    <row r="1606" spans="1:6">
      <c r="A1606" s="60">
        <v>160100</v>
      </c>
      <c r="B1606" s="60">
        <f t="shared" si="121"/>
        <v>4001250</v>
      </c>
      <c r="C1606" s="60">
        <f t="shared" si="124"/>
        <v>4001250</v>
      </c>
      <c r="D1606" s="61">
        <f t="shared" si="125"/>
        <v>1</v>
      </c>
      <c r="E1606" s="64">
        <f t="shared" si="122"/>
        <v>400.12498047485116</v>
      </c>
      <c r="F1606" s="62" t="str">
        <f t="shared" si="123"/>
        <v/>
      </c>
    </row>
    <row r="1607" spans="1:6">
      <c r="A1607" s="60">
        <v>160200</v>
      </c>
      <c r="B1607" s="60">
        <f t="shared" ref="B1607:B1670" si="126">ROUND(D1607*E1607*10000,0)</f>
        <v>4002499</v>
      </c>
      <c r="C1607" s="60">
        <f t="shared" si="124"/>
        <v>4002499</v>
      </c>
      <c r="D1607" s="61">
        <f t="shared" si="125"/>
        <v>1</v>
      </c>
      <c r="E1607" s="64">
        <f t="shared" ref="E1607:E1670" si="127">A1607^0.5</f>
        <v>400.24992192379</v>
      </c>
      <c r="F1607" s="62" t="str">
        <f t="shared" si="123"/>
        <v/>
      </c>
    </row>
    <row r="1608" spans="1:6">
      <c r="A1608" s="60">
        <v>160300</v>
      </c>
      <c r="B1608" s="60">
        <f t="shared" si="126"/>
        <v>4003748</v>
      </c>
      <c r="C1608" s="60">
        <f t="shared" si="124"/>
        <v>4003748</v>
      </c>
      <c r="D1608" s="61">
        <f t="shared" si="125"/>
        <v>1</v>
      </c>
      <c r="E1608" s="64">
        <f t="shared" si="127"/>
        <v>400.37482438335206</v>
      </c>
      <c r="F1608" s="62" t="str">
        <f t="shared" ref="F1608:F1671" si="128">IF(B1608&lt;B1607,1,"")</f>
        <v/>
      </c>
    </row>
    <row r="1609" spans="1:6">
      <c r="A1609" s="60">
        <v>160400</v>
      </c>
      <c r="B1609" s="60">
        <f t="shared" si="126"/>
        <v>4004997</v>
      </c>
      <c r="C1609" s="60">
        <f t="shared" si="124"/>
        <v>4004997</v>
      </c>
      <c r="D1609" s="61">
        <f t="shared" si="125"/>
        <v>1</v>
      </c>
      <c r="E1609" s="64">
        <f t="shared" si="127"/>
        <v>400.49968789001571</v>
      </c>
      <c r="F1609" s="62" t="str">
        <f t="shared" si="128"/>
        <v/>
      </c>
    </row>
    <row r="1610" spans="1:6">
      <c r="A1610" s="60">
        <v>160500</v>
      </c>
      <c r="B1610" s="60">
        <f t="shared" si="126"/>
        <v>4006245</v>
      </c>
      <c r="C1610" s="60">
        <f t="shared" si="124"/>
        <v>4006245</v>
      </c>
      <c r="D1610" s="61">
        <f t="shared" si="125"/>
        <v>1</v>
      </c>
      <c r="E1610" s="64">
        <f t="shared" si="127"/>
        <v>400.62451248020261</v>
      </c>
      <c r="F1610" s="62" t="str">
        <f t="shared" si="128"/>
        <v/>
      </c>
    </row>
    <row r="1611" spans="1:6">
      <c r="A1611" s="60">
        <v>160600</v>
      </c>
      <c r="B1611" s="60">
        <f t="shared" si="126"/>
        <v>4007493</v>
      </c>
      <c r="C1611" s="60">
        <f t="shared" ref="C1611:C1674" si="129">ROUND(D1611*E1611*10000,0)</f>
        <v>4007493</v>
      </c>
      <c r="D1611" s="61">
        <f t="shared" si="125"/>
        <v>1</v>
      </c>
      <c r="E1611" s="64">
        <f t="shared" si="127"/>
        <v>400.74929819027756</v>
      </c>
      <c r="F1611" s="62" t="str">
        <f t="shared" si="128"/>
        <v/>
      </c>
    </row>
    <row r="1612" spans="1:6">
      <c r="A1612" s="60">
        <v>160700</v>
      </c>
      <c r="B1612" s="60">
        <f t="shared" si="126"/>
        <v>4008740</v>
      </c>
      <c r="C1612" s="60">
        <f t="shared" si="129"/>
        <v>4008740</v>
      </c>
      <c r="D1612" s="61">
        <f t="shared" si="125"/>
        <v>1</v>
      </c>
      <c r="E1612" s="64">
        <f t="shared" si="127"/>
        <v>400.87404505654888</v>
      </c>
      <c r="F1612" s="62" t="str">
        <f t="shared" si="128"/>
        <v/>
      </c>
    </row>
    <row r="1613" spans="1:6">
      <c r="A1613" s="60">
        <v>160800</v>
      </c>
      <c r="B1613" s="60">
        <f t="shared" si="126"/>
        <v>4009988</v>
      </c>
      <c r="C1613" s="60">
        <f t="shared" si="129"/>
        <v>4009988</v>
      </c>
      <c r="D1613" s="61">
        <f t="shared" si="125"/>
        <v>1</v>
      </c>
      <c r="E1613" s="64">
        <f t="shared" si="127"/>
        <v>400.99875311526841</v>
      </c>
      <c r="F1613" s="62" t="str">
        <f t="shared" si="128"/>
        <v/>
      </c>
    </row>
    <row r="1614" spans="1:6">
      <c r="A1614" s="60">
        <v>160900</v>
      </c>
      <c r="B1614" s="60">
        <f t="shared" si="126"/>
        <v>4011234</v>
      </c>
      <c r="C1614" s="60">
        <f t="shared" si="129"/>
        <v>4011234</v>
      </c>
      <c r="D1614" s="61">
        <f t="shared" si="125"/>
        <v>1</v>
      </c>
      <c r="E1614" s="64">
        <f t="shared" si="127"/>
        <v>401.1234224026316</v>
      </c>
      <c r="F1614" s="62" t="str">
        <f t="shared" si="128"/>
        <v/>
      </c>
    </row>
    <row r="1615" spans="1:6">
      <c r="A1615" s="60">
        <v>161000</v>
      </c>
      <c r="B1615" s="60">
        <f t="shared" si="126"/>
        <v>4012481</v>
      </c>
      <c r="C1615" s="60">
        <f t="shared" si="129"/>
        <v>4012481</v>
      </c>
      <c r="D1615" s="61">
        <f t="shared" si="125"/>
        <v>1</v>
      </c>
      <c r="E1615" s="64">
        <f t="shared" si="127"/>
        <v>401.24805295477756</v>
      </c>
      <c r="F1615" s="62" t="str">
        <f t="shared" si="128"/>
        <v/>
      </c>
    </row>
    <row r="1616" spans="1:6">
      <c r="A1616" s="60">
        <v>161100</v>
      </c>
      <c r="B1616" s="60">
        <f t="shared" si="126"/>
        <v>4013726</v>
      </c>
      <c r="C1616" s="60">
        <f t="shared" si="129"/>
        <v>4013726</v>
      </c>
      <c r="D1616" s="61">
        <f t="shared" si="125"/>
        <v>1</v>
      </c>
      <c r="E1616" s="64">
        <f t="shared" si="127"/>
        <v>401.37264480778958</v>
      </c>
      <c r="F1616" s="62" t="str">
        <f t="shared" si="128"/>
        <v/>
      </c>
    </row>
    <row r="1617" spans="1:6">
      <c r="A1617" s="60">
        <v>161200</v>
      </c>
      <c r="B1617" s="60">
        <f t="shared" si="126"/>
        <v>4014972</v>
      </c>
      <c r="C1617" s="60">
        <f t="shared" si="129"/>
        <v>4014972</v>
      </c>
      <c r="D1617" s="61">
        <f t="shared" si="125"/>
        <v>1</v>
      </c>
      <c r="E1617" s="64">
        <f t="shared" si="127"/>
        <v>401.49719799769463</v>
      </c>
      <c r="F1617" s="62" t="str">
        <f t="shared" si="128"/>
        <v/>
      </c>
    </row>
    <row r="1618" spans="1:6">
      <c r="A1618" s="60">
        <v>161300</v>
      </c>
      <c r="B1618" s="60">
        <f t="shared" si="126"/>
        <v>4016217</v>
      </c>
      <c r="C1618" s="60">
        <f t="shared" si="129"/>
        <v>4016217</v>
      </c>
      <c r="D1618" s="61">
        <f t="shared" si="125"/>
        <v>1</v>
      </c>
      <c r="E1618" s="64">
        <f t="shared" si="127"/>
        <v>401.62171256046406</v>
      </c>
      <c r="F1618" s="62" t="str">
        <f t="shared" si="128"/>
        <v/>
      </c>
    </row>
    <row r="1619" spans="1:6">
      <c r="A1619" s="60">
        <v>161400</v>
      </c>
      <c r="B1619" s="60">
        <f t="shared" si="126"/>
        <v>4017462</v>
      </c>
      <c r="C1619" s="60">
        <f t="shared" si="129"/>
        <v>4017462</v>
      </c>
      <c r="D1619" s="61">
        <f t="shared" si="125"/>
        <v>1</v>
      </c>
      <c r="E1619" s="64">
        <f t="shared" si="127"/>
        <v>401.74618853201332</v>
      </c>
      <c r="F1619" s="62" t="str">
        <f t="shared" si="128"/>
        <v/>
      </c>
    </row>
    <row r="1620" spans="1:6">
      <c r="A1620" s="60">
        <v>161500</v>
      </c>
      <c r="B1620" s="60">
        <f t="shared" si="126"/>
        <v>4018706</v>
      </c>
      <c r="C1620" s="60">
        <f t="shared" si="129"/>
        <v>4018706</v>
      </c>
      <c r="D1620" s="61">
        <f t="shared" si="125"/>
        <v>1</v>
      </c>
      <c r="E1620" s="64">
        <f t="shared" si="127"/>
        <v>401.87062594820242</v>
      </c>
      <c r="F1620" s="62" t="str">
        <f t="shared" si="128"/>
        <v/>
      </c>
    </row>
    <row r="1621" spans="1:6">
      <c r="A1621" s="60">
        <v>161600</v>
      </c>
      <c r="B1621" s="60">
        <f t="shared" si="126"/>
        <v>4019950</v>
      </c>
      <c r="C1621" s="60">
        <f t="shared" si="129"/>
        <v>4019950</v>
      </c>
      <c r="D1621" s="61">
        <f t="shared" si="125"/>
        <v>1</v>
      </c>
      <c r="E1621" s="64">
        <f t="shared" si="127"/>
        <v>401.9950248448356</v>
      </c>
      <c r="F1621" s="62" t="str">
        <f t="shared" si="128"/>
        <v/>
      </c>
    </row>
    <row r="1622" spans="1:6">
      <c r="A1622" s="60">
        <v>161700</v>
      </c>
      <c r="B1622" s="60">
        <f t="shared" si="126"/>
        <v>4021194</v>
      </c>
      <c r="C1622" s="60">
        <f t="shared" si="129"/>
        <v>4021194</v>
      </c>
      <c r="D1622" s="61">
        <f t="shared" si="125"/>
        <v>1</v>
      </c>
      <c r="E1622" s="64">
        <f t="shared" si="127"/>
        <v>402.11938525766203</v>
      </c>
      <c r="F1622" s="62" t="str">
        <f t="shared" si="128"/>
        <v/>
      </c>
    </row>
    <row r="1623" spans="1:6">
      <c r="A1623" s="60">
        <v>161800</v>
      </c>
      <c r="B1623" s="60">
        <f t="shared" si="126"/>
        <v>4022437</v>
      </c>
      <c r="C1623" s="60">
        <f t="shared" si="129"/>
        <v>4022437</v>
      </c>
      <c r="D1623" s="61">
        <f t="shared" si="125"/>
        <v>1</v>
      </c>
      <c r="E1623" s="64">
        <f t="shared" si="127"/>
        <v>402.24370722237535</v>
      </c>
      <c r="F1623" s="62" t="str">
        <f t="shared" si="128"/>
        <v/>
      </c>
    </row>
    <row r="1624" spans="1:6">
      <c r="A1624" s="60">
        <v>161900</v>
      </c>
      <c r="B1624" s="60">
        <f t="shared" si="126"/>
        <v>4023680</v>
      </c>
      <c r="C1624" s="60">
        <f t="shared" si="129"/>
        <v>4023680</v>
      </c>
      <c r="D1624" s="61">
        <f t="shared" si="125"/>
        <v>1</v>
      </c>
      <c r="E1624" s="64">
        <f t="shared" si="127"/>
        <v>402.36799077461416</v>
      </c>
      <c r="F1624" s="62" t="str">
        <f t="shared" si="128"/>
        <v/>
      </c>
    </row>
    <row r="1625" spans="1:6">
      <c r="A1625" s="60">
        <v>162000</v>
      </c>
      <c r="B1625" s="60">
        <f t="shared" si="126"/>
        <v>4024922</v>
      </c>
      <c r="C1625" s="60">
        <f t="shared" si="129"/>
        <v>4024922</v>
      </c>
      <c r="D1625" s="61">
        <f t="shared" si="125"/>
        <v>1</v>
      </c>
      <c r="E1625" s="64">
        <f t="shared" si="127"/>
        <v>402.49223594996215</v>
      </c>
      <c r="F1625" s="62" t="str">
        <f t="shared" si="128"/>
        <v/>
      </c>
    </row>
    <row r="1626" spans="1:6">
      <c r="A1626" s="60">
        <v>162100</v>
      </c>
      <c r="B1626" s="60">
        <f t="shared" si="126"/>
        <v>4026164</v>
      </c>
      <c r="C1626" s="60">
        <f t="shared" si="129"/>
        <v>4026164</v>
      </c>
      <c r="D1626" s="61">
        <f t="shared" si="125"/>
        <v>1</v>
      </c>
      <c r="E1626" s="64">
        <f t="shared" si="127"/>
        <v>402.61644278394789</v>
      </c>
      <c r="F1626" s="62" t="str">
        <f t="shared" si="128"/>
        <v/>
      </c>
    </row>
    <row r="1627" spans="1:6">
      <c r="A1627" s="60">
        <v>162200</v>
      </c>
      <c r="B1627" s="60">
        <f t="shared" si="126"/>
        <v>4027406</v>
      </c>
      <c r="C1627" s="60">
        <f t="shared" si="129"/>
        <v>4027406</v>
      </c>
      <c r="D1627" s="61">
        <f t="shared" si="125"/>
        <v>1</v>
      </c>
      <c r="E1627" s="64">
        <f t="shared" si="127"/>
        <v>402.74061131204536</v>
      </c>
      <c r="F1627" s="62" t="str">
        <f t="shared" si="128"/>
        <v/>
      </c>
    </row>
    <row r="1628" spans="1:6">
      <c r="A1628" s="60">
        <v>162300</v>
      </c>
      <c r="B1628" s="60">
        <f t="shared" si="126"/>
        <v>4028647</v>
      </c>
      <c r="C1628" s="60">
        <f t="shared" si="129"/>
        <v>4028647</v>
      </c>
      <c r="D1628" s="61">
        <f t="shared" si="125"/>
        <v>1</v>
      </c>
      <c r="E1628" s="64">
        <f t="shared" si="127"/>
        <v>402.86474156967375</v>
      </c>
      <c r="F1628" s="62" t="str">
        <f t="shared" si="128"/>
        <v/>
      </c>
    </row>
    <row r="1629" spans="1:6">
      <c r="A1629" s="60">
        <v>162400</v>
      </c>
      <c r="B1629" s="60">
        <f t="shared" si="126"/>
        <v>4029888</v>
      </c>
      <c r="C1629" s="60">
        <f t="shared" si="129"/>
        <v>4029888</v>
      </c>
      <c r="D1629" s="61">
        <f t="shared" si="125"/>
        <v>1</v>
      </c>
      <c r="E1629" s="64">
        <f t="shared" si="127"/>
        <v>402.98883359219769</v>
      </c>
      <c r="F1629" s="62" t="str">
        <f t="shared" si="128"/>
        <v/>
      </c>
    </row>
    <row r="1630" spans="1:6">
      <c r="A1630" s="60">
        <v>162500</v>
      </c>
      <c r="B1630" s="60">
        <f t="shared" si="126"/>
        <v>4031129</v>
      </c>
      <c r="C1630" s="60">
        <f t="shared" si="129"/>
        <v>4031129</v>
      </c>
      <c r="D1630" s="61">
        <f t="shared" si="125"/>
        <v>1</v>
      </c>
      <c r="E1630" s="64">
        <f t="shared" si="127"/>
        <v>403.11288741492746</v>
      </c>
      <c r="F1630" s="62" t="str">
        <f t="shared" si="128"/>
        <v/>
      </c>
    </row>
    <row r="1631" spans="1:6">
      <c r="A1631" s="60">
        <v>162600</v>
      </c>
      <c r="B1631" s="60">
        <f t="shared" si="126"/>
        <v>4032369</v>
      </c>
      <c r="C1631" s="60">
        <f t="shared" si="129"/>
        <v>4032369</v>
      </c>
      <c r="D1631" s="61">
        <f t="shared" si="125"/>
        <v>1</v>
      </c>
      <c r="E1631" s="64">
        <f t="shared" si="127"/>
        <v>403.23690307311904</v>
      </c>
      <c r="F1631" s="62" t="str">
        <f t="shared" si="128"/>
        <v/>
      </c>
    </row>
    <row r="1632" spans="1:6">
      <c r="A1632" s="60">
        <v>162700</v>
      </c>
      <c r="B1632" s="60">
        <f t="shared" si="126"/>
        <v>4033609</v>
      </c>
      <c r="C1632" s="60">
        <f t="shared" si="129"/>
        <v>4033609</v>
      </c>
      <c r="D1632" s="61">
        <f t="shared" si="125"/>
        <v>1</v>
      </c>
      <c r="E1632" s="64">
        <f t="shared" si="127"/>
        <v>403.36088060197409</v>
      </c>
      <c r="F1632" s="62" t="str">
        <f t="shared" si="128"/>
        <v/>
      </c>
    </row>
    <row r="1633" spans="1:6">
      <c r="A1633" s="60">
        <v>162800</v>
      </c>
      <c r="B1633" s="60">
        <f t="shared" si="126"/>
        <v>4034848</v>
      </c>
      <c r="C1633" s="60">
        <f t="shared" si="129"/>
        <v>4034848</v>
      </c>
      <c r="D1633" s="61">
        <f t="shared" si="125"/>
        <v>1</v>
      </c>
      <c r="E1633" s="64">
        <f t="shared" si="127"/>
        <v>403.48482003664031</v>
      </c>
      <c r="F1633" s="62" t="str">
        <f t="shared" si="128"/>
        <v/>
      </c>
    </row>
    <row r="1634" spans="1:6">
      <c r="A1634" s="60">
        <v>162900</v>
      </c>
      <c r="B1634" s="60">
        <f t="shared" si="126"/>
        <v>4036087</v>
      </c>
      <c r="C1634" s="60">
        <f t="shared" si="129"/>
        <v>4036087</v>
      </c>
      <c r="D1634" s="61">
        <f t="shared" si="125"/>
        <v>1</v>
      </c>
      <c r="E1634" s="64">
        <f t="shared" si="127"/>
        <v>403.60872141221131</v>
      </c>
      <c r="F1634" s="62" t="str">
        <f t="shared" si="128"/>
        <v/>
      </c>
    </row>
    <row r="1635" spans="1:6">
      <c r="A1635" s="60">
        <v>163000</v>
      </c>
      <c r="B1635" s="60">
        <f t="shared" si="126"/>
        <v>4037326</v>
      </c>
      <c r="C1635" s="60">
        <f t="shared" si="129"/>
        <v>4037326</v>
      </c>
      <c r="D1635" s="61">
        <f t="shared" si="125"/>
        <v>1</v>
      </c>
      <c r="E1635" s="64">
        <f t="shared" si="127"/>
        <v>403.732584763727</v>
      </c>
      <c r="F1635" s="62" t="str">
        <f t="shared" si="128"/>
        <v/>
      </c>
    </row>
    <row r="1636" spans="1:6">
      <c r="A1636" s="60">
        <v>163100</v>
      </c>
      <c r="B1636" s="60">
        <f t="shared" si="126"/>
        <v>4038564</v>
      </c>
      <c r="C1636" s="60">
        <f t="shared" si="129"/>
        <v>4038564</v>
      </c>
      <c r="D1636" s="61">
        <f t="shared" si="125"/>
        <v>1</v>
      </c>
      <c r="E1636" s="64">
        <f t="shared" si="127"/>
        <v>403.85641012617344</v>
      </c>
      <c r="F1636" s="62" t="str">
        <f t="shared" si="128"/>
        <v/>
      </c>
    </row>
    <row r="1637" spans="1:6">
      <c r="A1637" s="60">
        <v>163200</v>
      </c>
      <c r="B1637" s="60">
        <f t="shared" si="126"/>
        <v>4039802</v>
      </c>
      <c r="C1637" s="60">
        <f t="shared" si="129"/>
        <v>4039802</v>
      </c>
      <c r="D1637" s="61">
        <f t="shared" si="125"/>
        <v>1</v>
      </c>
      <c r="E1637" s="64">
        <f t="shared" si="127"/>
        <v>403.98019753448312</v>
      </c>
      <c r="F1637" s="62" t="str">
        <f t="shared" si="128"/>
        <v/>
      </c>
    </row>
    <row r="1638" spans="1:6">
      <c r="A1638" s="60">
        <v>163300</v>
      </c>
      <c r="B1638" s="60">
        <f t="shared" si="126"/>
        <v>4041039</v>
      </c>
      <c r="C1638" s="60">
        <f t="shared" si="129"/>
        <v>4041039</v>
      </c>
      <c r="D1638" s="61">
        <f t="shared" si="125"/>
        <v>1</v>
      </c>
      <c r="E1638" s="64">
        <f t="shared" si="127"/>
        <v>404.103947023535</v>
      </c>
      <c r="F1638" s="62" t="str">
        <f t="shared" si="128"/>
        <v/>
      </c>
    </row>
    <row r="1639" spans="1:6">
      <c r="A1639" s="60">
        <v>163400</v>
      </c>
      <c r="B1639" s="60">
        <f t="shared" si="126"/>
        <v>4042277</v>
      </c>
      <c r="C1639" s="60">
        <f t="shared" si="129"/>
        <v>4042277</v>
      </c>
      <c r="D1639" s="61">
        <f t="shared" si="125"/>
        <v>1</v>
      </c>
      <c r="E1639" s="64">
        <f t="shared" si="127"/>
        <v>404.22765862815476</v>
      </c>
      <c r="F1639" s="62" t="str">
        <f t="shared" si="128"/>
        <v/>
      </c>
    </row>
    <row r="1640" spans="1:6">
      <c r="A1640" s="60">
        <v>163500</v>
      </c>
      <c r="B1640" s="60">
        <f t="shared" si="126"/>
        <v>4043513</v>
      </c>
      <c r="C1640" s="60">
        <f t="shared" si="129"/>
        <v>4043513</v>
      </c>
      <c r="D1640" s="61">
        <f t="shared" si="125"/>
        <v>1</v>
      </c>
      <c r="E1640" s="64">
        <f t="shared" si="127"/>
        <v>404.3513323831146</v>
      </c>
      <c r="F1640" s="62" t="str">
        <f t="shared" si="128"/>
        <v/>
      </c>
    </row>
    <row r="1641" spans="1:6">
      <c r="A1641" s="60">
        <v>163600</v>
      </c>
      <c r="B1641" s="60">
        <f t="shared" si="126"/>
        <v>4044750</v>
      </c>
      <c r="C1641" s="60">
        <f t="shared" si="129"/>
        <v>4044750</v>
      </c>
      <c r="D1641" s="61">
        <f t="shared" si="125"/>
        <v>1</v>
      </c>
      <c r="E1641" s="64">
        <f t="shared" si="127"/>
        <v>404.47496832313368</v>
      </c>
      <c r="F1641" s="62" t="str">
        <f t="shared" si="128"/>
        <v/>
      </c>
    </row>
    <row r="1642" spans="1:6">
      <c r="A1642" s="60">
        <v>163700</v>
      </c>
      <c r="B1642" s="60">
        <f t="shared" si="126"/>
        <v>4045986</v>
      </c>
      <c r="C1642" s="60">
        <f t="shared" si="129"/>
        <v>4045986</v>
      </c>
      <c r="D1642" s="61">
        <f t="shared" si="125"/>
        <v>1</v>
      </c>
      <c r="E1642" s="64">
        <f t="shared" si="127"/>
        <v>404.5985664828782</v>
      </c>
      <c r="F1642" s="62" t="str">
        <f t="shared" si="128"/>
        <v/>
      </c>
    </row>
    <row r="1643" spans="1:6">
      <c r="A1643" s="60">
        <v>163800</v>
      </c>
      <c r="B1643" s="60">
        <f t="shared" si="126"/>
        <v>4047221</v>
      </c>
      <c r="C1643" s="60">
        <f t="shared" si="129"/>
        <v>4047221</v>
      </c>
      <c r="D1643" s="61">
        <f t="shared" si="125"/>
        <v>1</v>
      </c>
      <c r="E1643" s="64">
        <f t="shared" si="127"/>
        <v>404.72212689696124</v>
      </c>
      <c r="F1643" s="62" t="str">
        <f t="shared" si="128"/>
        <v/>
      </c>
    </row>
    <row r="1644" spans="1:6">
      <c r="A1644" s="60">
        <v>163900</v>
      </c>
      <c r="B1644" s="60">
        <f t="shared" si="126"/>
        <v>4048456</v>
      </c>
      <c r="C1644" s="60">
        <f t="shared" si="129"/>
        <v>4048456</v>
      </c>
      <c r="D1644" s="61">
        <f t="shared" si="125"/>
        <v>1</v>
      </c>
      <c r="E1644" s="64">
        <f t="shared" si="127"/>
        <v>404.84564959994321</v>
      </c>
      <c r="F1644" s="62" t="str">
        <f t="shared" si="128"/>
        <v/>
      </c>
    </row>
    <row r="1645" spans="1:6">
      <c r="A1645" s="60">
        <v>164000</v>
      </c>
      <c r="B1645" s="60">
        <f t="shared" si="126"/>
        <v>4049691</v>
      </c>
      <c r="C1645" s="60">
        <f t="shared" si="129"/>
        <v>4049691</v>
      </c>
      <c r="D1645" s="61">
        <f t="shared" si="125"/>
        <v>1</v>
      </c>
      <c r="E1645" s="64">
        <f t="shared" si="127"/>
        <v>404.96913462633177</v>
      </c>
      <c r="F1645" s="62" t="str">
        <f t="shared" si="128"/>
        <v/>
      </c>
    </row>
    <row r="1646" spans="1:6">
      <c r="A1646" s="60">
        <v>164100</v>
      </c>
      <c r="B1646" s="60">
        <f t="shared" si="126"/>
        <v>4050926</v>
      </c>
      <c r="C1646" s="60">
        <f t="shared" si="129"/>
        <v>4050926</v>
      </c>
      <c r="D1646" s="61">
        <f t="shared" si="125"/>
        <v>1</v>
      </c>
      <c r="E1646" s="64">
        <f t="shared" si="127"/>
        <v>405.09258201058185</v>
      </c>
      <c r="F1646" s="62" t="str">
        <f t="shared" si="128"/>
        <v/>
      </c>
    </row>
    <row r="1647" spans="1:6">
      <c r="A1647" s="60">
        <v>164200</v>
      </c>
      <c r="B1647" s="60">
        <f t="shared" si="126"/>
        <v>4052160</v>
      </c>
      <c r="C1647" s="60">
        <f t="shared" si="129"/>
        <v>4052160</v>
      </c>
      <c r="D1647" s="61">
        <f t="shared" si="125"/>
        <v>1</v>
      </c>
      <c r="E1647" s="64">
        <f t="shared" si="127"/>
        <v>405.21599178709619</v>
      </c>
      <c r="F1647" s="62" t="str">
        <f t="shared" si="128"/>
        <v/>
      </c>
    </row>
    <row r="1648" spans="1:6">
      <c r="A1648" s="60">
        <v>164300</v>
      </c>
      <c r="B1648" s="60">
        <f t="shared" si="126"/>
        <v>4053394</v>
      </c>
      <c r="C1648" s="60">
        <f t="shared" si="129"/>
        <v>4053394</v>
      </c>
      <c r="D1648" s="61">
        <f t="shared" si="125"/>
        <v>1</v>
      </c>
      <c r="E1648" s="64">
        <f t="shared" si="127"/>
        <v>405.33936399022485</v>
      </c>
      <c r="F1648" s="62" t="str">
        <f t="shared" si="128"/>
        <v/>
      </c>
    </row>
    <row r="1649" spans="1:6">
      <c r="A1649" s="60">
        <v>164400</v>
      </c>
      <c r="B1649" s="60">
        <f t="shared" si="126"/>
        <v>4054627</v>
      </c>
      <c r="C1649" s="60">
        <f t="shared" si="129"/>
        <v>4054627</v>
      </c>
      <c r="D1649" s="61">
        <f t="shared" si="125"/>
        <v>1</v>
      </c>
      <c r="E1649" s="64">
        <f t="shared" si="127"/>
        <v>405.46269865426586</v>
      </c>
      <c r="F1649" s="62" t="str">
        <f t="shared" si="128"/>
        <v/>
      </c>
    </row>
    <row r="1650" spans="1:6">
      <c r="A1650" s="60">
        <v>164500</v>
      </c>
      <c r="B1650" s="60">
        <f t="shared" si="126"/>
        <v>4055860</v>
      </c>
      <c r="C1650" s="60">
        <f t="shared" si="129"/>
        <v>4055860</v>
      </c>
      <c r="D1650" s="61">
        <f t="shared" si="125"/>
        <v>1</v>
      </c>
      <c r="E1650" s="64">
        <f t="shared" si="127"/>
        <v>405.58599581346493</v>
      </c>
      <c r="F1650" s="62" t="str">
        <f t="shared" si="128"/>
        <v/>
      </c>
    </row>
    <row r="1651" spans="1:6">
      <c r="A1651" s="60">
        <v>164600</v>
      </c>
      <c r="B1651" s="60">
        <f t="shared" si="126"/>
        <v>4057093</v>
      </c>
      <c r="C1651" s="60">
        <f t="shared" si="129"/>
        <v>4057093</v>
      </c>
      <c r="D1651" s="61">
        <f t="shared" si="125"/>
        <v>1</v>
      </c>
      <c r="E1651" s="64">
        <f t="shared" si="127"/>
        <v>405.70925550201588</v>
      </c>
      <c r="F1651" s="62" t="str">
        <f t="shared" si="128"/>
        <v/>
      </c>
    </row>
    <row r="1652" spans="1:6">
      <c r="A1652" s="60">
        <v>164700</v>
      </c>
      <c r="B1652" s="60">
        <f t="shared" si="126"/>
        <v>4058325</v>
      </c>
      <c r="C1652" s="60">
        <f t="shared" si="129"/>
        <v>4058325</v>
      </c>
      <c r="D1652" s="61">
        <f t="shared" si="125"/>
        <v>1</v>
      </c>
      <c r="E1652" s="64">
        <f t="shared" si="127"/>
        <v>405.83247775406051</v>
      </c>
      <c r="F1652" s="62" t="str">
        <f t="shared" si="128"/>
        <v/>
      </c>
    </row>
    <row r="1653" spans="1:6">
      <c r="A1653" s="60">
        <v>164800</v>
      </c>
      <c r="B1653" s="60">
        <f t="shared" si="126"/>
        <v>4059557</v>
      </c>
      <c r="C1653" s="60">
        <f t="shared" si="129"/>
        <v>4059557</v>
      </c>
      <c r="D1653" s="61">
        <f t="shared" si="125"/>
        <v>1</v>
      </c>
      <c r="E1653" s="64">
        <f t="shared" si="127"/>
        <v>405.95566260368878</v>
      </c>
      <c r="F1653" s="62" t="str">
        <f t="shared" si="128"/>
        <v/>
      </c>
    </row>
    <row r="1654" spans="1:6">
      <c r="A1654" s="60">
        <v>164900</v>
      </c>
      <c r="B1654" s="60">
        <f t="shared" si="126"/>
        <v>4060788</v>
      </c>
      <c r="C1654" s="60">
        <f t="shared" si="129"/>
        <v>4060788</v>
      </c>
      <c r="D1654" s="61">
        <f t="shared" si="125"/>
        <v>1</v>
      </c>
      <c r="E1654" s="64">
        <f t="shared" si="127"/>
        <v>406.07881008493905</v>
      </c>
      <c r="F1654" s="62" t="str">
        <f t="shared" si="128"/>
        <v/>
      </c>
    </row>
    <row r="1655" spans="1:6">
      <c r="A1655" s="60">
        <v>165000</v>
      </c>
      <c r="B1655" s="60">
        <f t="shared" si="126"/>
        <v>4062019</v>
      </c>
      <c r="C1655" s="60">
        <f t="shared" si="129"/>
        <v>4062019</v>
      </c>
      <c r="D1655" s="61">
        <f t="shared" si="125"/>
        <v>1</v>
      </c>
      <c r="E1655" s="64">
        <f t="shared" si="127"/>
        <v>406.201920231798</v>
      </c>
      <c r="F1655" s="62" t="str">
        <f t="shared" si="128"/>
        <v/>
      </c>
    </row>
    <row r="1656" spans="1:6">
      <c r="A1656" s="60">
        <v>165100</v>
      </c>
      <c r="B1656" s="60">
        <f t="shared" si="126"/>
        <v>4063250</v>
      </c>
      <c r="C1656" s="60">
        <f t="shared" si="129"/>
        <v>4063250</v>
      </c>
      <c r="D1656" s="61">
        <f t="shared" si="125"/>
        <v>1</v>
      </c>
      <c r="E1656" s="64">
        <f t="shared" si="127"/>
        <v>406.32499307820086</v>
      </c>
      <c r="F1656" s="62" t="str">
        <f t="shared" si="128"/>
        <v/>
      </c>
    </row>
    <row r="1657" spans="1:6">
      <c r="A1657" s="60">
        <v>165200</v>
      </c>
      <c r="B1657" s="60">
        <f t="shared" si="126"/>
        <v>4064480</v>
      </c>
      <c r="C1657" s="60">
        <f t="shared" si="129"/>
        <v>4064480</v>
      </c>
      <c r="D1657" s="61">
        <f t="shared" si="125"/>
        <v>1</v>
      </c>
      <c r="E1657" s="64">
        <f t="shared" si="127"/>
        <v>406.44802865803149</v>
      </c>
      <c r="F1657" s="62" t="str">
        <f t="shared" si="128"/>
        <v/>
      </c>
    </row>
    <row r="1658" spans="1:6">
      <c r="A1658" s="60">
        <v>165300</v>
      </c>
      <c r="B1658" s="60">
        <f t="shared" si="126"/>
        <v>4065710</v>
      </c>
      <c r="C1658" s="60">
        <f t="shared" si="129"/>
        <v>4065710</v>
      </c>
      <c r="D1658" s="61">
        <f t="shared" si="125"/>
        <v>1</v>
      </c>
      <c r="E1658" s="64">
        <f t="shared" si="127"/>
        <v>406.57102700512246</v>
      </c>
      <c r="F1658" s="62" t="str">
        <f t="shared" si="128"/>
        <v/>
      </c>
    </row>
    <row r="1659" spans="1:6">
      <c r="A1659" s="60">
        <v>165400</v>
      </c>
      <c r="B1659" s="60">
        <f t="shared" si="126"/>
        <v>4066940</v>
      </c>
      <c r="C1659" s="60">
        <f t="shared" si="129"/>
        <v>4066940</v>
      </c>
      <c r="D1659" s="61">
        <f t="shared" si="125"/>
        <v>1</v>
      </c>
      <c r="E1659" s="64">
        <f t="shared" si="127"/>
        <v>406.69398815325508</v>
      </c>
      <c r="F1659" s="62" t="str">
        <f t="shared" si="128"/>
        <v/>
      </c>
    </row>
    <row r="1660" spans="1:6">
      <c r="A1660" s="60">
        <v>165500</v>
      </c>
      <c r="B1660" s="60">
        <f t="shared" si="126"/>
        <v>4068169</v>
      </c>
      <c r="C1660" s="60">
        <f t="shared" si="129"/>
        <v>4068169</v>
      </c>
      <c r="D1660" s="61">
        <f t="shared" si="125"/>
        <v>1</v>
      </c>
      <c r="E1660" s="64">
        <f t="shared" si="127"/>
        <v>406.81691213615983</v>
      </c>
      <c r="F1660" s="62" t="str">
        <f t="shared" si="128"/>
        <v/>
      </c>
    </row>
    <row r="1661" spans="1:6">
      <c r="A1661" s="60">
        <v>165600</v>
      </c>
      <c r="B1661" s="60">
        <f t="shared" si="126"/>
        <v>4069398</v>
      </c>
      <c r="C1661" s="60">
        <f t="shared" si="129"/>
        <v>4069398</v>
      </c>
      <c r="D1661" s="61">
        <f t="shared" si="125"/>
        <v>1</v>
      </c>
      <c r="E1661" s="64">
        <f t="shared" si="127"/>
        <v>406.9397989875161</v>
      </c>
      <c r="F1661" s="62" t="str">
        <f t="shared" si="128"/>
        <v/>
      </c>
    </row>
    <row r="1662" spans="1:6">
      <c r="A1662" s="60">
        <v>165700</v>
      </c>
      <c r="B1662" s="60">
        <f t="shared" si="126"/>
        <v>4070626</v>
      </c>
      <c r="C1662" s="60">
        <f t="shared" si="129"/>
        <v>4070626</v>
      </c>
      <c r="D1662" s="61">
        <f t="shared" si="125"/>
        <v>1</v>
      </c>
      <c r="E1662" s="64">
        <f t="shared" si="127"/>
        <v>407.0626487409524</v>
      </c>
      <c r="F1662" s="62" t="str">
        <f t="shared" si="128"/>
        <v/>
      </c>
    </row>
    <row r="1663" spans="1:6">
      <c r="A1663" s="60">
        <v>165800</v>
      </c>
      <c r="B1663" s="60">
        <f t="shared" si="126"/>
        <v>4071855</v>
      </c>
      <c r="C1663" s="60">
        <f t="shared" si="129"/>
        <v>4071855</v>
      </c>
      <c r="D1663" s="61">
        <f t="shared" si="125"/>
        <v>1</v>
      </c>
      <c r="E1663" s="64">
        <f t="shared" si="127"/>
        <v>407.18546143004664</v>
      </c>
      <c r="F1663" s="62" t="str">
        <f t="shared" si="128"/>
        <v/>
      </c>
    </row>
    <row r="1664" spans="1:6">
      <c r="A1664" s="60">
        <v>165900</v>
      </c>
      <c r="B1664" s="60">
        <f t="shared" si="126"/>
        <v>4073082</v>
      </c>
      <c r="C1664" s="60">
        <f t="shared" si="129"/>
        <v>4073082</v>
      </c>
      <c r="D1664" s="61">
        <f t="shared" si="125"/>
        <v>1</v>
      </c>
      <c r="E1664" s="64">
        <f t="shared" si="127"/>
        <v>407.308237088326</v>
      </c>
      <c r="F1664" s="62" t="str">
        <f t="shared" si="128"/>
        <v/>
      </c>
    </row>
    <row r="1665" spans="1:6">
      <c r="A1665" s="60">
        <v>166000</v>
      </c>
      <c r="B1665" s="60">
        <f t="shared" si="126"/>
        <v>4074310</v>
      </c>
      <c r="C1665" s="60">
        <f t="shared" si="129"/>
        <v>4074310</v>
      </c>
      <c r="D1665" s="61">
        <f t="shared" si="125"/>
        <v>1</v>
      </c>
      <c r="E1665" s="64">
        <f t="shared" si="127"/>
        <v>407.43097574926725</v>
      </c>
      <c r="F1665" s="62" t="str">
        <f t="shared" si="128"/>
        <v/>
      </c>
    </row>
    <row r="1666" spans="1:6">
      <c r="A1666" s="60">
        <v>166100</v>
      </c>
      <c r="B1666" s="60">
        <f t="shared" si="126"/>
        <v>4075537</v>
      </c>
      <c r="C1666" s="60">
        <f t="shared" si="129"/>
        <v>4075537</v>
      </c>
      <c r="D1666" s="61">
        <f t="shared" si="125"/>
        <v>1</v>
      </c>
      <c r="E1666" s="64">
        <f t="shared" si="127"/>
        <v>407.55367744629666</v>
      </c>
      <c r="F1666" s="62" t="str">
        <f t="shared" si="128"/>
        <v/>
      </c>
    </row>
    <row r="1667" spans="1:6">
      <c r="A1667" s="60">
        <v>166200</v>
      </c>
      <c r="B1667" s="60">
        <f t="shared" si="126"/>
        <v>4076763</v>
      </c>
      <c r="C1667" s="60">
        <f t="shared" si="129"/>
        <v>4076763</v>
      </c>
      <c r="D1667" s="61">
        <f t="shared" si="125"/>
        <v>1</v>
      </c>
      <c r="E1667" s="64">
        <f t="shared" si="127"/>
        <v>407.67634221279019</v>
      </c>
      <c r="F1667" s="62" t="str">
        <f t="shared" si="128"/>
        <v/>
      </c>
    </row>
    <row r="1668" spans="1:6">
      <c r="A1668" s="60">
        <v>166300</v>
      </c>
      <c r="B1668" s="60">
        <f t="shared" si="126"/>
        <v>4077990</v>
      </c>
      <c r="C1668" s="60">
        <f t="shared" si="129"/>
        <v>4077990</v>
      </c>
      <c r="D1668" s="61">
        <f t="shared" si="125"/>
        <v>1</v>
      </c>
      <c r="E1668" s="64">
        <f t="shared" si="127"/>
        <v>407.79897008207365</v>
      </c>
      <c r="F1668" s="62" t="str">
        <f t="shared" si="128"/>
        <v/>
      </c>
    </row>
    <row r="1669" spans="1:6">
      <c r="A1669" s="60">
        <v>166400</v>
      </c>
      <c r="B1669" s="60">
        <f t="shared" si="126"/>
        <v>4079216</v>
      </c>
      <c r="C1669" s="60">
        <f t="shared" si="129"/>
        <v>4079216</v>
      </c>
      <c r="D1669" s="61">
        <f t="shared" ref="D1669:D1732" si="130">(A1669-INDEX(兵力区间,MATCH(A1669,兵力区间,1)))/(INDEX(兵力区间,MATCH(A1669,兵力区间,1)+1)-INDEX(兵力区间,MATCH(A1669,兵力区间,1)))*((INDEX(兵力调节,MATCH(A1669,兵力区间,1)+1,2)-INDEX(兵力调节,MATCH(A1669,兵力区间,1),2)))+INDEX(兵力调节,MATCH(A1669,兵力区间,1),2)</f>
        <v>1</v>
      </c>
      <c r="E1669" s="64">
        <f t="shared" si="127"/>
        <v>407.92156108742279</v>
      </c>
      <c r="F1669" s="62" t="str">
        <f t="shared" si="128"/>
        <v/>
      </c>
    </row>
    <row r="1670" spans="1:6">
      <c r="A1670" s="60">
        <v>166500</v>
      </c>
      <c r="B1670" s="60">
        <f t="shared" si="126"/>
        <v>4080441</v>
      </c>
      <c r="C1670" s="60">
        <f t="shared" si="129"/>
        <v>4080441</v>
      </c>
      <c r="D1670" s="61">
        <f t="shared" si="130"/>
        <v>1</v>
      </c>
      <c r="E1670" s="64">
        <f t="shared" si="127"/>
        <v>408.04411526206331</v>
      </c>
      <c r="F1670" s="62" t="str">
        <f t="shared" si="128"/>
        <v/>
      </c>
    </row>
    <row r="1671" spans="1:6">
      <c r="A1671" s="60">
        <v>166600</v>
      </c>
      <c r="B1671" s="60">
        <f t="shared" ref="B1671:B1734" si="131">ROUND(D1671*E1671*10000,0)</f>
        <v>4081666</v>
      </c>
      <c r="C1671" s="60">
        <f t="shared" si="129"/>
        <v>4081666</v>
      </c>
      <c r="D1671" s="61">
        <f t="shared" si="130"/>
        <v>1</v>
      </c>
      <c r="E1671" s="64">
        <f t="shared" ref="E1671:E1734" si="132">A1671^0.5</f>
        <v>408.16663263917104</v>
      </c>
      <c r="F1671" s="62" t="str">
        <f t="shared" si="128"/>
        <v/>
      </c>
    </row>
    <row r="1672" spans="1:6">
      <c r="A1672" s="60">
        <v>166700</v>
      </c>
      <c r="B1672" s="60">
        <f t="shared" si="131"/>
        <v>4082891</v>
      </c>
      <c r="C1672" s="60">
        <f t="shared" si="129"/>
        <v>4082891</v>
      </c>
      <c r="D1672" s="61">
        <f t="shared" si="130"/>
        <v>1</v>
      </c>
      <c r="E1672" s="64">
        <f t="shared" si="132"/>
        <v>408.28911325187204</v>
      </c>
      <c r="F1672" s="62" t="str">
        <f t="shared" ref="F1672:F1735" si="133">IF(B1672&lt;B1671,1,"")</f>
        <v/>
      </c>
    </row>
    <row r="1673" spans="1:6">
      <c r="A1673" s="60">
        <v>166800</v>
      </c>
      <c r="B1673" s="60">
        <f t="shared" si="131"/>
        <v>4084116</v>
      </c>
      <c r="C1673" s="60">
        <f t="shared" si="129"/>
        <v>4084116</v>
      </c>
      <c r="D1673" s="61">
        <f t="shared" si="130"/>
        <v>1</v>
      </c>
      <c r="E1673" s="64">
        <f t="shared" si="132"/>
        <v>408.41155713324275</v>
      </c>
      <c r="F1673" s="62" t="str">
        <f t="shared" si="133"/>
        <v/>
      </c>
    </row>
    <row r="1674" spans="1:6">
      <c r="A1674" s="60">
        <v>166900</v>
      </c>
      <c r="B1674" s="60">
        <f t="shared" si="131"/>
        <v>4085340</v>
      </c>
      <c r="C1674" s="60">
        <f t="shared" si="129"/>
        <v>4085340</v>
      </c>
      <c r="D1674" s="61">
        <f t="shared" si="130"/>
        <v>1</v>
      </c>
      <c r="E1674" s="64">
        <f t="shared" si="132"/>
        <v>408.53396431630995</v>
      </c>
      <c r="F1674" s="62" t="str">
        <f t="shared" si="133"/>
        <v/>
      </c>
    </row>
    <row r="1675" spans="1:6">
      <c r="A1675" s="60">
        <v>167000</v>
      </c>
      <c r="B1675" s="60">
        <f t="shared" si="131"/>
        <v>4086563</v>
      </c>
      <c r="C1675" s="60">
        <f t="shared" ref="C1675:C1738" si="134">ROUND(D1675*E1675*10000,0)</f>
        <v>4086563</v>
      </c>
      <c r="D1675" s="61">
        <f t="shared" si="130"/>
        <v>1</v>
      </c>
      <c r="E1675" s="64">
        <f t="shared" si="132"/>
        <v>408.65633483405099</v>
      </c>
      <c r="F1675" s="62" t="str">
        <f t="shared" si="133"/>
        <v/>
      </c>
    </row>
    <row r="1676" spans="1:6">
      <c r="A1676" s="60">
        <v>167100</v>
      </c>
      <c r="B1676" s="60">
        <f t="shared" si="131"/>
        <v>4087787</v>
      </c>
      <c r="C1676" s="60">
        <f t="shared" si="134"/>
        <v>4087787</v>
      </c>
      <c r="D1676" s="61">
        <f t="shared" si="130"/>
        <v>1</v>
      </c>
      <c r="E1676" s="64">
        <f t="shared" si="132"/>
        <v>408.77866871939392</v>
      </c>
      <c r="F1676" s="62" t="str">
        <f t="shared" si="133"/>
        <v/>
      </c>
    </row>
    <row r="1677" spans="1:6">
      <c r="A1677" s="60">
        <v>167200</v>
      </c>
      <c r="B1677" s="60">
        <f t="shared" si="131"/>
        <v>4089010</v>
      </c>
      <c r="C1677" s="60">
        <f t="shared" si="134"/>
        <v>4089010</v>
      </c>
      <c r="D1677" s="61">
        <f t="shared" si="130"/>
        <v>1</v>
      </c>
      <c r="E1677" s="64">
        <f t="shared" si="132"/>
        <v>408.90096600521747</v>
      </c>
      <c r="F1677" s="62" t="str">
        <f t="shared" si="133"/>
        <v/>
      </c>
    </row>
    <row r="1678" spans="1:6">
      <c r="A1678" s="60">
        <v>167300</v>
      </c>
      <c r="B1678" s="60">
        <f t="shared" si="131"/>
        <v>4090232</v>
      </c>
      <c r="C1678" s="60">
        <f t="shared" si="134"/>
        <v>4090232</v>
      </c>
      <c r="D1678" s="61">
        <f t="shared" si="130"/>
        <v>1</v>
      </c>
      <c r="E1678" s="64">
        <f t="shared" si="132"/>
        <v>409.02322672435122</v>
      </c>
      <c r="F1678" s="62" t="str">
        <f t="shared" si="133"/>
        <v/>
      </c>
    </row>
    <row r="1679" spans="1:6">
      <c r="A1679" s="60">
        <v>167400</v>
      </c>
      <c r="B1679" s="60">
        <f t="shared" si="131"/>
        <v>4091455</v>
      </c>
      <c r="C1679" s="60">
        <f t="shared" si="134"/>
        <v>4091455</v>
      </c>
      <c r="D1679" s="61">
        <f t="shared" si="130"/>
        <v>1</v>
      </c>
      <c r="E1679" s="64">
        <f t="shared" si="132"/>
        <v>409.14545090957569</v>
      </c>
      <c r="F1679" s="62" t="str">
        <f t="shared" si="133"/>
        <v/>
      </c>
    </row>
    <row r="1680" spans="1:6">
      <c r="A1680" s="60">
        <v>167500</v>
      </c>
      <c r="B1680" s="60">
        <f t="shared" si="131"/>
        <v>4092676</v>
      </c>
      <c r="C1680" s="60">
        <f t="shared" si="134"/>
        <v>4092676</v>
      </c>
      <c r="D1680" s="61">
        <f t="shared" si="130"/>
        <v>1</v>
      </c>
      <c r="E1680" s="64">
        <f t="shared" si="132"/>
        <v>409.26763859362251</v>
      </c>
      <c r="F1680" s="62" t="str">
        <f t="shared" si="133"/>
        <v/>
      </c>
    </row>
    <row r="1681" spans="1:6">
      <c r="A1681" s="60">
        <v>167600</v>
      </c>
      <c r="B1681" s="60">
        <f t="shared" si="131"/>
        <v>4093898</v>
      </c>
      <c r="C1681" s="60">
        <f t="shared" si="134"/>
        <v>4093898</v>
      </c>
      <c r="D1681" s="61">
        <f t="shared" si="130"/>
        <v>1</v>
      </c>
      <c r="E1681" s="64">
        <f t="shared" si="132"/>
        <v>409.38978980917443</v>
      </c>
      <c r="F1681" s="62" t="str">
        <f t="shared" si="133"/>
        <v/>
      </c>
    </row>
    <row r="1682" spans="1:6">
      <c r="A1682" s="60">
        <v>167700</v>
      </c>
      <c r="B1682" s="60">
        <f t="shared" si="131"/>
        <v>4095119</v>
      </c>
      <c r="C1682" s="60">
        <f t="shared" si="134"/>
        <v>4095119</v>
      </c>
      <c r="D1682" s="61">
        <f t="shared" si="130"/>
        <v>1</v>
      </c>
      <c r="E1682" s="64">
        <f t="shared" si="132"/>
        <v>409.51190458886538</v>
      </c>
      <c r="F1682" s="62" t="str">
        <f t="shared" si="133"/>
        <v/>
      </c>
    </row>
    <row r="1683" spans="1:6">
      <c r="A1683" s="60">
        <v>167800</v>
      </c>
      <c r="B1683" s="60">
        <f t="shared" si="131"/>
        <v>4096340</v>
      </c>
      <c r="C1683" s="60">
        <f t="shared" si="134"/>
        <v>4096340</v>
      </c>
      <c r="D1683" s="61">
        <f t="shared" si="130"/>
        <v>1</v>
      </c>
      <c r="E1683" s="64">
        <f t="shared" si="132"/>
        <v>409.63398296528084</v>
      </c>
      <c r="F1683" s="62" t="str">
        <f t="shared" si="133"/>
        <v/>
      </c>
    </row>
    <row r="1684" spans="1:6">
      <c r="A1684" s="60">
        <v>167900</v>
      </c>
      <c r="B1684" s="60">
        <f t="shared" si="131"/>
        <v>4097560</v>
      </c>
      <c r="C1684" s="60">
        <f t="shared" si="134"/>
        <v>4097560</v>
      </c>
      <c r="D1684" s="61">
        <f t="shared" si="130"/>
        <v>1</v>
      </c>
      <c r="E1684" s="64">
        <f t="shared" si="132"/>
        <v>409.75602497095758</v>
      </c>
      <c r="F1684" s="62" t="str">
        <f t="shared" si="133"/>
        <v/>
      </c>
    </row>
    <row r="1685" spans="1:6">
      <c r="A1685" s="60">
        <v>168000</v>
      </c>
      <c r="B1685" s="60">
        <f t="shared" si="131"/>
        <v>4098780</v>
      </c>
      <c r="C1685" s="60">
        <f t="shared" si="134"/>
        <v>4098780</v>
      </c>
      <c r="D1685" s="61">
        <f t="shared" si="130"/>
        <v>1</v>
      </c>
      <c r="E1685" s="64">
        <f t="shared" si="132"/>
        <v>409.87803063838396</v>
      </c>
      <c r="F1685" s="62" t="str">
        <f t="shared" si="133"/>
        <v/>
      </c>
    </row>
    <row r="1686" spans="1:6">
      <c r="A1686" s="60">
        <v>168100</v>
      </c>
      <c r="B1686" s="60">
        <f t="shared" si="131"/>
        <v>4100000</v>
      </c>
      <c r="C1686" s="60">
        <f t="shared" si="134"/>
        <v>4100000</v>
      </c>
      <c r="D1686" s="61">
        <f t="shared" si="130"/>
        <v>1</v>
      </c>
      <c r="E1686" s="64">
        <f t="shared" si="132"/>
        <v>410</v>
      </c>
      <c r="F1686" s="62" t="str">
        <f t="shared" si="133"/>
        <v/>
      </c>
    </row>
    <row r="1687" spans="1:6">
      <c r="A1687" s="60">
        <v>168200</v>
      </c>
      <c r="B1687" s="60">
        <f t="shared" si="131"/>
        <v>4101219</v>
      </c>
      <c r="C1687" s="60">
        <f t="shared" si="134"/>
        <v>4101219</v>
      </c>
      <c r="D1687" s="61">
        <f t="shared" si="130"/>
        <v>1</v>
      </c>
      <c r="E1687" s="64">
        <f t="shared" si="132"/>
        <v>410.12193308819758</v>
      </c>
      <c r="F1687" s="62" t="str">
        <f t="shared" si="133"/>
        <v/>
      </c>
    </row>
    <row r="1688" spans="1:6">
      <c r="A1688" s="60">
        <v>168300</v>
      </c>
      <c r="B1688" s="60">
        <f t="shared" si="131"/>
        <v>4102438</v>
      </c>
      <c r="C1688" s="60">
        <f t="shared" si="134"/>
        <v>4102438</v>
      </c>
      <c r="D1688" s="61">
        <f t="shared" si="130"/>
        <v>1</v>
      </c>
      <c r="E1688" s="64">
        <f t="shared" si="132"/>
        <v>410.24382993532032</v>
      </c>
      <c r="F1688" s="62" t="str">
        <f t="shared" si="133"/>
        <v/>
      </c>
    </row>
    <row r="1689" spans="1:6">
      <c r="A1689" s="60">
        <v>168400</v>
      </c>
      <c r="B1689" s="60">
        <f t="shared" si="131"/>
        <v>4103657</v>
      </c>
      <c r="C1689" s="60">
        <f t="shared" si="134"/>
        <v>4103657</v>
      </c>
      <c r="D1689" s="61">
        <f t="shared" si="130"/>
        <v>1</v>
      </c>
      <c r="E1689" s="64">
        <f t="shared" si="132"/>
        <v>410.36569057366381</v>
      </c>
      <c r="F1689" s="62" t="str">
        <f t="shared" si="133"/>
        <v/>
      </c>
    </row>
    <row r="1690" spans="1:6">
      <c r="A1690" s="60">
        <v>168500</v>
      </c>
      <c r="B1690" s="60">
        <f t="shared" si="131"/>
        <v>4104875</v>
      </c>
      <c r="C1690" s="60">
        <f t="shared" si="134"/>
        <v>4104875</v>
      </c>
      <c r="D1690" s="61">
        <f t="shared" si="130"/>
        <v>1</v>
      </c>
      <c r="E1690" s="64">
        <f t="shared" si="132"/>
        <v>410.48751503547584</v>
      </c>
      <c r="F1690" s="62" t="str">
        <f t="shared" si="133"/>
        <v/>
      </c>
    </row>
    <row r="1691" spans="1:6">
      <c r="A1691" s="60">
        <v>168600</v>
      </c>
      <c r="B1691" s="60">
        <f t="shared" si="131"/>
        <v>4106093</v>
      </c>
      <c r="C1691" s="60">
        <f t="shared" si="134"/>
        <v>4106093</v>
      </c>
      <c r="D1691" s="61">
        <f t="shared" si="130"/>
        <v>1</v>
      </c>
      <c r="E1691" s="64">
        <f t="shared" si="132"/>
        <v>410.6093033529562</v>
      </c>
      <c r="F1691" s="62" t="str">
        <f t="shared" si="133"/>
        <v/>
      </c>
    </row>
    <row r="1692" spans="1:6">
      <c r="A1692" s="60">
        <v>168700</v>
      </c>
      <c r="B1692" s="60">
        <f t="shared" si="131"/>
        <v>4107311</v>
      </c>
      <c r="C1692" s="60">
        <f t="shared" si="134"/>
        <v>4107311</v>
      </c>
      <c r="D1692" s="61">
        <f t="shared" si="130"/>
        <v>1</v>
      </c>
      <c r="E1692" s="64">
        <f t="shared" si="132"/>
        <v>410.73105555825703</v>
      </c>
      <c r="F1692" s="62" t="str">
        <f t="shared" si="133"/>
        <v/>
      </c>
    </row>
    <row r="1693" spans="1:6">
      <c r="A1693" s="60">
        <v>168800</v>
      </c>
      <c r="B1693" s="60">
        <f t="shared" si="131"/>
        <v>4108528</v>
      </c>
      <c r="C1693" s="60">
        <f t="shared" si="134"/>
        <v>4108528</v>
      </c>
      <c r="D1693" s="61">
        <f t="shared" si="130"/>
        <v>1</v>
      </c>
      <c r="E1693" s="64">
        <f t="shared" si="132"/>
        <v>410.85277168348273</v>
      </c>
      <c r="F1693" s="62" t="str">
        <f t="shared" si="133"/>
        <v/>
      </c>
    </row>
    <row r="1694" spans="1:6">
      <c r="A1694" s="60">
        <v>168900</v>
      </c>
      <c r="B1694" s="60">
        <f t="shared" si="131"/>
        <v>4109745</v>
      </c>
      <c r="C1694" s="60">
        <f t="shared" si="134"/>
        <v>4109745</v>
      </c>
      <c r="D1694" s="61">
        <f t="shared" si="130"/>
        <v>1</v>
      </c>
      <c r="E1694" s="64">
        <f t="shared" si="132"/>
        <v>410.97445176069033</v>
      </c>
      <c r="F1694" s="62" t="str">
        <f t="shared" si="133"/>
        <v/>
      </c>
    </row>
    <row r="1695" spans="1:6">
      <c r="A1695" s="60">
        <v>169000</v>
      </c>
      <c r="B1695" s="60">
        <f t="shared" si="131"/>
        <v>4110961</v>
      </c>
      <c r="C1695" s="60">
        <f t="shared" si="134"/>
        <v>4110961</v>
      </c>
      <c r="D1695" s="61">
        <f t="shared" si="130"/>
        <v>1</v>
      </c>
      <c r="E1695" s="64">
        <f t="shared" si="132"/>
        <v>411.09609582188932</v>
      </c>
      <c r="F1695" s="62" t="str">
        <f t="shared" si="133"/>
        <v/>
      </c>
    </row>
    <row r="1696" spans="1:6">
      <c r="A1696" s="60">
        <v>169100</v>
      </c>
      <c r="B1696" s="60">
        <f t="shared" si="131"/>
        <v>4112177</v>
      </c>
      <c r="C1696" s="60">
        <f t="shared" si="134"/>
        <v>4112177</v>
      </c>
      <c r="D1696" s="61">
        <f t="shared" si="130"/>
        <v>1</v>
      </c>
      <c r="E1696" s="64">
        <f t="shared" si="132"/>
        <v>411.21770389904179</v>
      </c>
      <c r="F1696" s="62" t="str">
        <f t="shared" si="133"/>
        <v/>
      </c>
    </row>
    <row r="1697" spans="1:6">
      <c r="A1697" s="60">
        <v>169200</v>
      </c>
      <c r="B1697" s="60">
        <f t="shared" si="131"/>
        <v>4113393</v>
      </c>
      <c r="C1697" s="60">
        <f t="shared" si="134"/>
        <v>4113393</v>
      </c>
      <c r="D1697" s="61">
        <f t="shared" si="130"/>
        <v>1</v>
      </c>
      <c r="E1697" s="64">
        <f t="shared" si="132"/>
        <v>411.33927602406266</v>
      </c>
      <c r="F1697" s="62" t="str">
        <f t="shared" si="133"/>
        <v/>
      </c>
    </row>
    <row r="1698" spans="1:6">
      <c r="A1698" s="60">
        <v>169300</v>
      </c>
      <c r="B1698" s="60">
        <f t="shared" si="131"/>
        <v>4114608</v>
      </c>
      <c r="C1698" s="60">
        <f t="shared" si="134"/>
        <v>4114608</v>
      </c>
      <c r="D1698" s="61">
        <f t="shared" si="130"/>
        <v>1</v>
      </c>
      <c r="E1698" s="64">
        <f t="shared" si="132"/>
        <v>411.46081222881969</v>
      </c>
      <c r="F1698" s="62" t="str">
        <f t="shared" si="133"/>
        <v/>
      </c>
    </row>
    <row r="1699" spans="1:6">
      <c r="A1699" s="60">
        <v>169400</v>
      </c>
      <c r="B1699" s="60">
        <f t="shared" si="131"/>
        <v>4115823</v>
      </c>
      <c r="C1699" s="60">
        <f t="shared" si="134"/>
        <v>4115823</v>
      </c>
      <c r="D1699" s="61">
        <f t="shared" si="130"/>
        <v>1</v>
      </c>
      <c r="E1699" s="64">
        <f t="shared" si="132"/>
        <v>411.58231254513356</v>
      </c>
      <c r="F1699" s="62" t="str">
        <f t="shared" si="133"/>
        <v/>
      </c>
    </row>
    <row r="1700" spans="1:6">
      <c r="A1700" s="60">
        <v>169500</v>
      </c>
      <c r="B1700" s="60">
        <f t="shared" si="131"/>
        <v>4117038</v>
      </c>
      <c r="C1700" s="60">
        <f t="shared" si="134"/>
        <v>4117038</v>
      </c>
      <c r="D1700" s="61">
        <f t="shared" si="130"/>
        <v>1</v>
      </c>
      <c r="E1700" s="64">
        <f t="shared" si="132"/>
        <v>411.70377700477803</v>
      </c>
      <c r="F1700" s="62" t="str">
        <f t="shared" si="133"/>
        <v/>
      </c>
    </row>
    <row r="1701" spans="1:6">
      <c r="A1701" s="60">
        <v>169600</v>
      </c>
      <c r="B1701" s="60">
        <f t="shared" si="131"/>
        <v>4118252</v>
      </c>
      <c r="C1701" s="60">
        <f t="shared" si="134"/>
        <v>4118252</v>
      </c>
      <c r="D1701" s="61">
        <f t="shared" si="130"/>
        <v>1</v>
      </c>
      <c r="E1701" s="64">
        <f t="shared" si="132"/>
        <v>411.82520563948003</v>
      </c>
      <c r="F1701" s="62" t="str">
        <f t="shared" si="133"/>
        <v/>
      </c>
    </row>
    <row r="1702" spans="1:6">
      <c r="A1702" s="60">
        <v>169700</v>
      </c>
      <c r="B1702" s="60">
        <f t="shared" si="131"/>
        <v>4119466</v>
      </c>
      <c r="C1702" s="60">
        <f t="shared" si="134"/>
        <v>4119466</v>
      </c>
      <c r="D1702" s="61">
        <f t="shared" si="130"/>
        <v>1</v>
      </c>
      <c r="E1702" s="64">
        <f t="shared" si="132"/>
        <v>411.94659848091959</v>
      </c>
      <c r="F1702" s="62" t="str">
        <f t="shared" si="133"/>
        <v/>
      </c>
    </row>
    <row r="1703" spans="1:6">
      <c r="A1703" s="60">
        <v>169800</v>
      </c>
      <c r="B1703" s="60">
        <f t="shared" si="131"/>
        <v>4120680</v>
      </c>
      <c r="C1703" s="60">
        <f t="shared" si="134"/>
        <v>4120680</v>
      </c>
      <c r="D1703" s="61">
        <f t="shared" si="130"/>
        <v>1</v>
      </c>
      <c r="E1703" s="64">
        <f t="shared" si="132"/>
        <v>412.0679555607303</v>
      </c>
      <c r="F1703" s="62" t="str">
        <f t="shared" si="133"/>
        <v/>
      </c>
    </row>
    <row r="1704" spans="1:6">
      <c r="A1704" s="60">
        <v>169900</v>
      </c>
      <c r="B1704" s="60">
        <f t="shared" si="131"/>
        <v>4121893</v>
      </c>
      <c r="C1704" s="60">
        <f t="shared" si="134"/>
        <v>4121893</v>
      </c>
      <c r="D1704" s="61">
        <f t="shared" si="130"/>
        <v>1</v>
      </c>
      <c r="E1704" s="64">
        <f t="shared" si="132"/>
        <v>412.18927691049896</v>
      </c>
      <c r="F1704" s="62" t="str">
        <f t="shared" si="133"/>
        <v/>
      </c>
    </row>
    <row r="1705" spans="1:6">
      <c r="A1705" s="60">
        <v>170000</v>
      </c>
      <c r="B1705" s="60">
        <f t="shared" si="131"/>
        <v>4123106</v>
      </c>
      <c r="C1705" s="60">
        <f t="shared" si="134"/>
        <v>4123106</v>
      </c>
      <c r="D1705" s="61">
        <f t="shared" si="130"/>
        <v>1</v>
      </c>
      <c r="E1705" s="64">
        <f t="shared" si="132"/>
        <v>412.31056256176606</v>
      </c>
      <c r="F1705" s="62" t="str">
        <f t="shared" si="133"/>
        <v/>
      </c>
    </row>
    <row r="1706" spans="1:6">
      <c r="A1706" s="60">
        <v>170100</v>
      </c>
      <c r="B1706" s="60">
        <f t="shared" si="131"/>
        <v>4124318</v>
      </c>
      <c r="C1706" s="60">
        <f t="shared" si="134"/>
        <v>4124318</v>
      </c>
      <c r="D1706" s="61">
        <f t="shared" si="130"/>
        <v>1</v>
      </c>
      <c r="E1706" s="64">
        <f t="shared" si="132"/>
        <v>412.43181254602558</v>
      </c>
      <c r="F1706" s="62" t="str">
        <f t="shared" si="133"/>
        <v/>
      </c>
    </row>
    <row r="1707" spans="1:6">
      <c r="A1707" s="60">
        <v>170200</v>
      </c>
      <c r="B1707" s="60">
        <f t="shared" si="131"/>
        <v>4125530</v>
      </c>
      <c r="C1707" s="60">
        <f t="shared" si="134"/>
        <v>4125530</v>
      </c>
      <c r="D1707" s="61">
        <f t="shared" si="130"/>
        <v>1</v>
      </c>
      <c r="E1707" s="64">
        <f t="shared" si="132"/>
        <v>412.55302689472535</v>
      </c>
      <c r="F1707" s="62" t="str">
        <f t="shared" si="133"/>
        <v/>
      </c>
    </row>
    <row r="1708" spans="1:6">
      <c r="A1708" s="60">
        <v>170300</v>
      </c>
      <c r="B1708" s="60">
        <f t="shared" si="131"/>
        <v>4126742</v>
      </c>
      <c r="C1708" s="60">
        <f t="shared" si="134"/>
        <v>4126742</v>
      </c>
      <c r="D1708" s="61">
        <f t="shared" si="130"/>
        <v>1</v>
      </c>
      <c r="E1708" s="64">
        <f t="shared" si="132"/>
        <v>412.67420563926697</v>
      </c>
      <c r="F1708" s="62" t="str">
        <f t="shared" si="133"/>
        <v/>
      </c>
    </row>
    <row r="1709" spans="1:6">
      <c r="A1709" s="60">
        <v>170400</v>
      </c>
      <c r="B1709" s="60">
        <f t="shared" si="131"/>
        <v>4127953</v>
      </c>
      <c r="C1709" s="60">
        <f t="shared" si="134"/>
        <v>4127953</v>
      </c>
      <c r="D1709" s="61">
        <f t="shared" si="130"/>
        <v>1</v>
      </c>
      <c r="E1709" s="64">
        <f t="shared" si="132"/>
        <v>412.79534881100585</v>
      </c>
      <c r="F1709" s="62" t="str">
        <f t="shared" si="133"/>
        <v/>
      </c>
    </row>
    <row r="1710" spans="1:6">
      <c r="A1710" s="60">
        <v>170500</v>
      </c>
      <c r="B1710" s="60">
        <f t="shared" si="131"/>
        <v>4129165</v>
      </c>
      <c r="C1710" s="60">
        <f t="shared" si="134"/>
        <v>4129165</v>
      </c>
      <c r="D1710" s="61">
        <f t="shared" si="130"/>
        <v>1</v>
      </c>
      <c r="E1710" s="64">
        <f t="shared" si="132"/>
        <v>412.91645644125157</v>
      </c>
      <c r="F1710" s="62" t="str">
        <f t="shared" si="133"/>
        <v/>
      </c>
    </row>
    <row r="1711" spans="1:6">
      <c r="A1711" s="60">
        <v>170600</v>
      </c>
      <c r="B1711" s="60">
        <f t="shared" si="131"/>
        <v>4130375</v>
      </c>
      <c r="C1711" s="60">
        <f t="shared" si="134"/>
        <v>4130375</v>
      </c>
      <c r="D1711" s="61">
        <f t="shared" si="130"/>
        <v>1</v>
      </c>
      <c r="E1711" s="64">
        <f t="shared" si="132"/>
        <v>413.03752856126766</v>
      </c>
      <c r="F1711" s="62" t="str">
        <f t="shared" si="133"/>
        <v/>
      </c>
    </row>
    <row r="1712" spans="1:6">
      <c r="A1712" s="60">
        <v>170700</v>
      </c>
      <c r="B1712" s="60">
        <f t="shared" si="131"/>
        <v>4131586</v>
      </c>
      <c r="C1712" s="60">
        <f t="shared" si="134"/>
        <v>4131586</v>
      </c>
      <c r="D1712" s="61">
        <f t="shared" si="130"/>
        <v>1</v>
      </c>
      <c r="E1712" s="64">
        <f t="shared" si="132"/>
        <v>413.15856520227197</v>
      </c>
      <c r="F1712" s="62" t="str">
        <f t="shared" si="133"/>
        <v/>
      </c>
    </row>
    <row r="1713" spans="1:6">
      <c r="A1713" s="60">
        <v>170800</v>
      </c>
      <c r="B1713" s="60">
        <f t="shared" si="131"/>
        <v>4132796</v>
      </c>
      <c r="C1713" s="60">
        <f t="shared" si="134"/>
        <v>4132796</v>
      </c>
      <c r="D1713" s="61">
        <f t="shared" si="130"/>
        <v>1</v>
      </c>
      <c r="E1713" s="64">
        <f t="shared" si="132"/>
        <v>413.27956639543652</v>
      </c>
      <c r="F1713" s="62" t="str">
        <f t="shared" si="133"/>
        <v/>
      </c>
    </row>
    <row r="1714" spans="1:6">
      <c r="A1714" s="60">
        <v>170900</v>
      </c>
      <c r="B1714" s="60">
        <f t="shared" si="131"/>
        <v>4134005</v>
      </c>
      <c r="C1714" s="60">
        <f t="shared" si="134"/>
        <v>4134005</v>
      </c>
      <c r="D1714" s="61">
        <f t="shared" si="130"/>
        <v>1</v>
      </c>
      <c r="E1714" s="64">
        <f t="shared" si="132"/>
        <v>413.40053217188773</v>
      </c>
      <c r="F1714" s="62" t="str">
        <f t="shared" si="133"/>
        <v/>
      </c>
    </row>
    <row r="1715" spans="1:6">
      <c r="A1715" s="60">
        <v>171000</v>
      </c>
      <c r="B1715" s="60">
        <f t="shared" si="131"/>
        <v>4135215</v>
      </c>
      <c r="C1715" s="60">
        <f t="shared" si="134"/>
        <v>4135215</v>
      </c>
      <c r="D1715" s="61">
        <f t="shared" si="130"/>
        <v>1</v>
      </c>
      <c r="E1715" s="64">
        <f t="shared" si="132"/>
        <v>413.52146256270663</v>
      </c>
      <c r="F1715" s="62" t="str">
        <f t="shared" si="133"/>
        <v/>
      </c>
    </row>
    <row r="1716" spans="1:6">
      <c r="A1716" s="60">
        <v>171100</v>
      </c>
      <c r="B1716" s="60">
        <f t="shared" si="131"/>
        <v>4136424</v>
      </c>
      <c r="C1716" s="60">
        <f t="shared" si="134"/>
        <v>4136424</v>
      </c>
      <c r="D1716" s="61">
        <f t="shared" si="130"/>
        <v>1</v>
      </c>
      <c r="E1716" s="64">
        <f t="shared" si="132"/>
        <v>413.6423575989287</v>
      </c>
      <c r="F1716" s="62" t="str">
        <f t="shared" si="133"/>
        <v/>
      </c>
    </row>
    <row r="1717" spans="1:6">
      <c r="A1717" s="60">
        <v>171200</v>
      </c>
      <c r="B1717" s="60">
        <f t="shared" si="131"/>
        <v>4137632</v>
      </c>
      <c r="C1717" s="60">
        <f t="shared" si="134"/>
        <v>4137632</v>
      </c>
      <c r="D1717" s="61">
        <f t="shared" si="130"/>
        <v>1</v>
      </c>
      <c r="E1717" s="64">
        <f t="shared" si="132"/>
        <v>413.763217311544</v>
      </c>
      <c r="F1717" s="62" t="str">
        <f t="shared" si="133"/>
        <v/>
      </c>
    </row>
    <row r="1718" spans="1:6">
      <c r="A1718" s="60">
        <v>171300</v>
      </c>
      <c r="B1718" s="60">
        <f t="shared" si="131"/>
        <v>4138840</v>
      </c>
      <c r="C1718" s="60">
        <f t="shared" si="134"/>
        <v>4138840</v>
      </c>
      <c r="D1718" s="61">
        <f t="shared" si="130"/>
        <v>1</v>
      </c>
      <c r="E1718" s="64">
        <f t="shared" si="132"/>
        <v>413.88404173149752</v>
      </c>
      <c r="F1718" s="62" t="str">
        <f t="shared" si="133"/>
        <v/>
      </c>
    </row>
    <row r="1719" spans="1:6">
      <c r="A1719" s="60">
        <v>171400</v>
      </c>
      <c r="B1719" s="60">
        <f t="shared" si="131"/>
        <v>4140048</v>
      </c>
      <c r="C1719" s="60">
        <f t="shared" si="134"/>
        <v>4140048</v>
      </c>
      <c r="D1719" s="61">
        <f t="shared" si="130"/>
        <v>1</v>
      </c>
      <c r="E1719" s="64">
        <f t="shared" si="132"/>
        <v>414.004830889689</v>
      </c>
      <c r="F1719" s="62" t="str">
        <f t="shared" si="133"/>
        <v/>
      </c>
    </row>
    <row r="1720" spans="1:6">
      <c r="A1720" s="60">
        <v>171500</v>
      </c>
      <c r="B1720" s="60">
        <f t="shared" si="131"/>
        <v>4141256</v>
      </c>
      <c r="C1720" s="60">
        <f t="shared" si="134"/>
        <v>4141256</v>
      </c>
      <c r="D1720" s="61">
        <f t="shared" si="130"/>
        <v>1</v>
      </c>
      <c r="E1720" s="64">
        <f t="shared" si="132"/>
        <v>414.12558481697312</v>
      </c>
      <c r="F1720" s="62" t="str">
        <f t="shared" si="133"/>
        <v/>
      </c>
    </row>
    <row r="1721" spans="1:6">
      <c r="A1721" s="60">
        <v>171600</v>
      </c>
      <c r="B1721" s="60">
        <f t="shared" si="131"/>
        <v>4142463</v>
      </c>
      <c r="C1721" s="60">
        <f t="shared" si="134"/>
        <v>4142463</v>
      </c>
      <c r="D1721" s="61">
        <f t="shared" si="130"/>
        <v>1</v>
      </c>
      <c r="E1721" s="64">
        <f t="shared" si="132"/>
        <v>414.24630354415956</v>
      </c>
      <c r="F1721" s="62" t="str">
        <f t="shared" si="133"/>
        <v/>
      </c>
    </row>
    <row r="1722" spans="1:6">
      <c r="A1722" s="60">
        <v>171700</v>
      </c>
      <c r="B1722" s="60">
        <f t="shared" si="131"/>
        <v>4143670</v>
      </c>
      <c r="C1722" s="60">
        <f t="shared" si="134"/>
        <v>4143670</v>
      </c>
      <c r="D1722" s="61">
        <f t="shared" si="130"/>
        <v>1</v>
      </c>
      <c r="E1722" s="64">
        <f t="shared" si="132"/>
        <v>414.36698710201324</v>
      </c>
      <c r="F1722" s="62" t="str">
        <f t="shared" si="133"/>
        <v/>
      </c>
    </row>
    <row r="1723" spans="1:6">
      <c r="A1723" s="60">
        <v>171800</v>
      </c>
      <c r="B1723" s="60">
        <f t="shared" si="131"/>
        <v>4144876</v>
      </c>
      <c r="C1723" s="60">
        <f t="shared" si="134"/>
        <v>4144876</v>
      </c>
      <c r="D1723" s="61">
        <f t="shared" si="130"/>
        <v>1</v>
      </c>
      <c r="E1723" s="64">
        <f t="shared" si="132"/>
        <v>414.48763552125411</v>
      </c>
      <c r="F1723" s="62" t="str">
        <f t="shared" si="133"/>
        <v/>
      </c>
    </row>
    <row r="1724" spans="1:6">
      <c r="A1724" s="60">
        <v>171900</v>
      </c>
      <c r="B1724" s="60">
        <f t="shared" si="131"/>
        <v>4146082</v>
      </c>
      <c r="C1724" s="60">
        <f t="shared" si="134"/>
        <v>4146082</v>
      </c>
      <c r="D1724" s="61">
        <f t="shared" si="130"/>
        <v>1</v>
      </c>
      <c r="E1724" s="64">
        <f t="shared" si="132"/>
        <v>414.60824883255759</v>
      </c>
      <c r="F1724" s="62" t="str">
        <f t="shared" si="133"/>
        <v/>
      </c>
    </row>
    <row r="1725" spans="1:6">
      <c r="A1725" s="60">
        <v>172000</v>
      </c>
      <c r="B1725" s="60">
        <f t="shared" si="131"/>
        <v>4147288</v>
      </c>
      <c r="C1725" s="60">
        <f t="shared" si="134"/>
        <v>4147288</v>
      </c>
      <c r="D1725" s="61">
        <f t="shared" si="130"/>
        <v>1</v>
      </c>
      <c r="E1725" s="64">
        <f t="shared" si="132"/>
        <v>414.7288270665544</v>
      </c>
      <c r="F1725" s="62" t="str">
        <f t="shared" si="133"/>
        <v/>
      </c>
    </row>
    <row r="1726" spans="1:6">
      <c r="A1726" s="60">
        <v>172100</v>
      </c>
      <c r="B1726" s="60">
        <f t="shared" si="131"/>
        <v>4148494</v>
      </c>
      <c r="C1726" s="60">
        <f t="shared" si="134"/>
        <v>4148494</v>
      </c>
      <c r="D1726" s="61">
        <f t="shared" si="130"/>
        <v>1</v>
      </c>
      <c r="E1726" s="64">
        <f t="shared" si="132"/>
        <v>414.84937025383078</v>
      </c>
      <c r="F1726" s="62" t="str">
        <f t="shared" si="133"/>
        <v/>
      </c>
    </row>
    <row r="1727" spans="1:6">
      <c r="A1727" s="60">
        <v>172200</v>
      </c>
      <c r="B1727" s="60">
        <f t="shared" si="131"/>
        <v>4149699</v>
      </c>
      <c r="C1727" s="60">
        <f t="shared" si="134"/>
        <v>4149699</v>
      </c>
      <c r="D1727" s="61">
        <f t="shared" si="130"/>
        <v>1</v>
      </c>
      <c r="E1727" s="64">
        <f t="shared" si="132"/>
        <v>414.96987842492859</v>
      </c>
      <c r="F1727" s="62" t="str">
        <f t="shared" si="133"/>
        <v/>
      </c>
    </row>
    <row r="1728" spans="1:6">
      <c r="A1728" s="60">
        <v>172300</v>
      </c>
      <c r="B1728" s="60">
        <f t="shared" si="131"/>
        <v>4150904</v>
      </c>
      <c r="C1728" s="60">
        <f t="shared" si="134"/>
        <v>4150904</v>
      </c>
      <c r="D1728" s="61">
        <f t="shared" si="130"/>
        <v>1</v>
      </c>
      <c r="E1728" s="64">
        <f t="shared" si="132"/>
        <v>415.09035161034518</v>
      </c>
      <c r="F1728" s="62" t="str">
        <f t="shared" si="133"/>
        <v/>
      </c>
    </row>
    <row r="1729" spans="1:6">
      <c r="A1729" s="60">
        <v>172400</v>
      </c>
      <c r="B1729" s="60">
        <f t="shared" si="131"/>
        <v>4152108</v>
      </c>
      <c r="C1729" s="60">
        <f t="shared" si="134"/>
        <v>4152108</v>
      </c>
      <c r="D1729" s="61">
        <f t="shared" si="130"/>
        <v>1</v>
      </c>
      <c r="E1729" s="64">
        <f t="shared" si="132"/>
        <v>415.21078984053389</v>
      </c>
      <c r="F1729" s="62" t="str">
        <f t="shared" si="133"/>
        <v/>
      </c>
    </row>
    <row r="1730" spans="1:6">
      <c r="A1730" s="60">
        <v>172500</v>
      </c>
      <c r="B1730" s="60">
        <f t="shared" si="131"/>
        <v>4153312</v>
      </c>
      <c r="C1730" s="60">
        <f t="shared" si="134"/>
        <v>4153312</v>
      </c>
      <c r="D1730" s="61">
        <f t="shared" si="130"/>
        <v>1</v>
      </c>
      <c r="E1730" s="64">
        <f t="shared" si="132"/>
        <v>415.33119314590374</v>
      </c>
      <c r="F1730" s="62" t="str">
        <f t="shared" si="133"/>
        <v/>
      </c>
    </row>
    <row r="1731" spans="1:6">
      <c r="A1731" s="60">
        <v>172600</v>
      </c>
      <c r="B1731" s="60">
        <f t="shared" si="131"/>
        <v>4154516</v>
      </c>
      <c r="C1731" s="60">
        <f t="shared" si="134"/>
        <v>4154516</v>
      </c>
      <c r="D1731" s="61">
        <f t="shared" si="130"/>
        <v>1</v>
      </c>
      <c r="E1731" s="64">
        <f t="shared" si="132"/>
        <v>415.45156155681974</v>
      </c>
      <c r="F1731" s="62" t="str">
        <f t="shared" si="133"/>
        <v/>
      </c>
    </row>
    <row r="1732" spans="1:6">
      <c r="A1732" s="60">
        <v>172700</v>
      </c>
      <c r="B1732" s="60">
        <f t="shared" si="131"/>
        <v>4155719</v>
      </c>
      <c r="C1732" s="60">
        <f t="shared" si="134"/>
        <v>4155719</v>
      </c>
      <c r="D1732" s="61">
        <f t="shared" si="130"/>
        <v>1</v>
      </c>
      <c r="E1732" s="64">
        <f t="shared" si="132"/>
        <v>415.57189510360297</v>
      </c>
      <c r="F1732" s="62" t="str">
        <f t="shared" si="133"/>
        <v/>
      </c>
    </row>
    <row r="1733" spans="1:6">
      <c r="A1733" s="60">
        <v>172800</v>
      </c>
      <c r="B1733" s="60">
        <f t="shared" si="131"/>
        <v>4156922</v>
      </c>
      <c r="C1733" s="60">
        <f t="shared" si="134"/>
        <v>4156922</v>
      </c>
      <c r="D1733" s="61">
        <f t="shared" ref="D1733:D1796" si="135">(A1733-INDEX(兵力区间,MATCH(A1733,兵力区间,1)))/(INDEX(兵力区间,MATCH(A1733,兵力区间,1)+1)-INDEX(兵力区间,MATCH(A1733,兵力区间,1)))*((INDEX(兵力调节,MATCH(A1733,兵力区间,1)+1,2)-INDEX(兵力调节,MATCH(A1733,兵力区间,1),2)))+INDEX(兵力调节,MATCH(A1733,兵力区间,1),2)</f>
        <v>1</v>
      </c>
      <c r="E1733" s="64">
        <f t="shared" si="132"/>
        <v>415.69219381653056</v>
      </c>
      <c r="F1733" s="62" t="str">
        <f t="shared" si="133"/>
        <v/>
      </c>
    </row>
    <row r="1734" spans="1:6">
      <c r="A1734" s="60">
        <v>172900</v>
      </c>
      <c r="B1734" s="60">
        <f t="shared" si="131"/>
        <v>4158125</v>
      </c>
      <c r="C1734" s="60">
        <f t="shared" si="134"/>
        <v>4158125</v>
      </c>
      <c r="D1734" s="61">
        <f t="shared" si="135"/>
        <v>1</v>
      </c>
      <c r="E1734" s="64">
        <f t="shared" si="132"/>
        <v>415.81245772583583</v>
      </c>
      <c r="F1734" s="62" t="str">
        <f t="shared" si="133"/>
        <v/>
      </c>
    </row>
    <row r="1735" spans="1:6">
      <c r="A1735" s="60">
        <v>173000</v>
      </c>
      <c r="B1735" s="60">
        <f t="shared" ref="B1735:B1798" si="136">ROUND(D1735*E1735*10000,0)</f>
        <v>4159327</v>
      </c>
      <c r="C1735" s="60">
        <f t="shared" si="134"/>
        <v>4159327</v>
      </c>
      <c r="D1735" s="61">
        <f t="shared" si="135"/>
        <v>1</v>
      </c>
      <c r="E1735" s="64">
        <f t="shared" ref="E1735:E1798" si="137">A1735^0.5</f>
        <v>415.93268686170842</v>
      </c>
      <c r="F1735" s="62" t="str">
        <f t="shared" si="133"/>
        <v/>
      </c>
    </row>
    <row r="1736" spans="1:6">
      <c r="A1736" s="60">
        <v>173100</v>
      </c>
      <c r="B1736" s="60">
        <f t="shared" si="136"/>
        <v>4160529</v>
      </c>
      <c r="C1736" s="60">
        <f t="shared" si="134"/>
        <v>4160529</v>
      </c>
      <c r="D1736" s="61">
        <f t="shared" si="135"/>
        <v>1</v>
      </c>
      <c r="E1736" s="64">
        <f t="shared" si="137"/>
        <v>416.05288125429439</v>
      </c>
      <c r="F1736" s="62" t="str">
        <f t="shared" ref="F1736:F1799" si="138">IF(B1736&lt;B1735,1,"")</f>
        <v/>
      </c>
    </row>
    <row r="1737" spans="1:6">
      <c r="A1737" s="60">
        <v>173200</v>
      </c>
      <c r="B1737" s="60">
        <f t="shared" si="136"/>
        <v>4161730</v>
      </c>
      <c r="C1737" s="60">
        <f t="shared" si="134"/>
        <v>4161730</v>
      </c>
      <c r="D1737" s="61">
        <f t="shared" si="135"/>
        <v>1</v>
      </c>
      <c r="E1737" s="64">
        <f t="shared" si="137"/>
        <v>416.17304093369626</v>
      </c>
      <c r="F1737" s="62" t="str">
        <f t="shared" si="138"/>
        <v/>
      </c>
    </row>
    <row r="1738" spans="1:6">
      <c r="A1738" s="60">
        <v>173300</v>
      </c>
      <c r="B1738" s="60">
        <f t="shared" si="136"/>
        <v>4162932</v>
      </c>
      <c r="C1738" s="60">
        <f t="shared" si="134"/>
        <v>4162932</v>
      </c>
      <c r="D1738" s="61">
        <f t="shared" si="135"/>
        <v>1</v>
      </c>
      <c r="E1738" s="64">
        <f t="shared" si="137"/>
        <v>416.29316592997299</v>
      </c>
      <c r="F1738" s="62" t="str">
        <f t="shared" si="138"/>
        <v/>
      </c>
    </row>
    <row r="1739" spans="1:6">
      <c r="A1739" s="60">
        <v>173400</v>
      </c>
      <c r="B1739" s="60">
        <f t="shared" si="136"/>
        <v>4164133</v>
      </c>
      <c r="C1739" s="60">
        <f t="shared" ref="C1739:C1802" si="139">ROUND(D1739*E1739*10000,0)</f>
        <v>4164133</v>
      </c>
      <c r="D1739" s="61">
        <f t="shared" si="135"/>
        <v>1</v>
      </c>
      <c r="E1739" s="64">
        <f t="shared" si="137"/>
        <v>416.41325627314029</v>
      </c>
      <c r="F1739" s="62" t="str">
        <f t="shared" si="138"/>
        <v/>
      </c>
    </row>
    <row r="1740" spans="1:6">
      <c r="A1740" s="60">
        <v>173500</v>
      </c>
      <c r="B1740" s="60">
        <f t="shared" si="136"/>
        <v>4165333</v>
      </c>
      <c r="C1740" s="60">
        <f t="shared" si="139"/>
        <v>4165333</v>
      </c>
      <c r="D1740" s="61">
        <f t="shared" si="135"/>
        <v>1</v>
      </c>
      <c r="E1740" s="64">
        <f t="shared" si="137"/>
        <v>416.53331199317063</v>
      </c>
      <c r="F1740" s="62" t="str">
        <f t="shared" si="138"/>
        <v/>
      </c>
    </row>
    <row r="1741" spans="1:6">
      <c r="A1741" s="60">
        <v>173600</v>
      </c>
      <c r="B1741" s="60">
        <f t="shared" si="136"/>
        <v>4166533</v>
      </c>
      <c r="C1741" s="60">
        <f t="shared" si="139"/>
        <v>4166533</v>
      </c>
      <c r="D1741" s="61">
        <f t="shared" si="135"/>
        <v>1</v>
      </c>
      <c r="E1741" s="64">
        <f t="shared" si="137"/>
        <v>416.65333311999319</v>
      </c>
      <c r="F1741" s="62" t="str">
        <f t="shared" si="138"/>
        <v/>
      </c>
    </row>
    <row r="1742" spans="1:6">
      <c r="A1742" s="60">
        <v>173700</v>
      </c>
      <c r="B1742" s="60">
        <f t="shared" si="136"/>
        <v>4167733</v>
      </c>
      <c r="C1742" s="60">
        <f t="shared" si="139"/>
        <v>4167733</v>
      </c>
      <c r="D1742" s="61">
        <f t="shared" si="135"/>
        <v>1</v>
      </c>
      <c r="E1742" s="64">
        <f t="shared" si="137"/>
        <v>416.77331968349415</v>
      </c>
      <c r="F1742" s="62" t="str">
        <f t="shared" si="138"/>
        <v/>
      </c>
    </row>
    <row r="1743" spans="1:6">
      <c r="A1743" s="60">
        <v>173800</v>
      </c>
      <c r="B1743" s="60">
        <f t="shared" si="136"/>
        <v>4168933</v>
      </c>
      <c r="C1743" s="60">
        <f t="shared" si="139"/>
        <v>4168933</v>
      </c>
      <c r="D1743" s="61">
        <f t="shared" si="135"/>
        <v>1</v>
      </c>
      <c r="E1743" s="64">
        <f t="shared" si="137"/>
        <v>416.89327171351664</v>
      </c>
      <c r="F1743" s="62" t="str">
        <f t="shared" si="138"/>
        <v/>
      </c>
    </row>
    <row r="1744" spans="1:6">
      <c r="A1744" s="60">
        <v>173900</v>
      </c>
      <c r="B1744" s="60">
        <f t="shared" si="136"/>
        <v>4170132</v>
      </c>
      <c r="C1744" s="60">
        <f t="shared" si="139"/>
        <v>4170132</v>
      </c>
      <c r="D1744" s="61">
        <f t="shared" si="135"/>
        <v>1</v>
      </c>
      <c r="E1744" s="64">
        <f t="shared" si="137"/>
        <v>417.01318923986088</v>
      </c>
      <c r="F1744" s="62" t="str">
        <f t="shared" si="138"/>
        <v/>
      </c>
    </row>
    <row r="1745" spans="1:6">
      <c r="A1745" s="60">
        <v>174000</v>
      </c>
      <c r="B1745" s="60">
        <f t="shared" si="136"/>
        <v>4171331</v>
      </c>
      <c r="C1745" s="60">
        <f t="shared" si="139"/>
        <v>4171331</v>
      </c>
      <c r="D1745" s="61">
        <f t="shared" si="135"/>
        <v>1</v>
      </c>
      <c r="E1745" s="64">
        <f t="shared" si="137"/>
        <v>417.13307229228423</v>
      </c>
      <c r="F1745" s="62" t="str">
        <f t="shared" si="138"/>
        <v/>
      </c>
    </row>
    <row r="1746" spans="1:6">
      <c r="A1746" s="60">
        <v>174100</v>
      </c>
      <c r="B1746" s="60">
        <f t="shared" si="136"/>
        <v>4172529</v>
      </c>
      <c r="C1746" s="60">
        <f t="shared" si="139"/>
        <v>4172529</v>
      </c>
      <c r="D1746" s="61">
        <f t="shared" si="135"/>
        <v>1</v>
      </c>
      <c r="E1746" s="64">
        <f t="shared" si="137"/>
        <v>417.25292090050129</v>
      </c>
      <c r="F1746" s="62" t="str">
        <f t="shared" si="138"/>
        <v/>
      </c>
    </row>
    <row r="1747" spans="1:6">
      <c r="A1747" s="60">
        <v>174200</v>
      </c>
      <c r="B1747" s="60">
        <f t="shared" si="136"/>
        <v>4173727</v>
      </c>
      <c r="C1747" s="60">
        <f t="shared" si="139"/>
        <v>4173727</v>
      </c>
      <c r="D1747" s="61">
        <f t="shared" si="135"/>
        <v>1</v>
      </c>
      <c r="E1747" s="64">
        <f t="shared" si="137"/>
        <v>417.37273509418412</v>
      </c>
      <c r="F1747" s="62" t="str">
        <f t="shared" si="138"/>
        <v/>
      </c>
    </row>
    <row r="1748" spans="1:6">
      <c r="A1748" s="60">
        <v>174300</v>
      </c>
      <c r="B1748" s="60">
        <f t="shared" si="136"/>
        <v>4174925</v>
      </c>
      <c r="C1748" s="60">
        <f t="shared" si="139"/>
        <v>4174925</v>
      </c>
      <c r="D1748" s="61">
        <f t="shared" si="135"/>
        <v>1</v>
      </c>
      <c r="E1748" s="64">
        <f t="shared" si="137"/>
        <v>417.49251490296206</v>
      </c>
      <c r="F1748" s="62" t="str">
        <f t="shared" si="138"/>
        <v/>
      </c>
    </row>
    <row r="1749" spans="1:6">
      <c r="A1749" s="60">
        <v>174400</v>
      </c>
      <c r="B1749" s="60">
        <f t="shared" si="136"/>
        <v>4176123</v>
      </c>
      <c r="C1749" s="60">
        <f t="shared" si="139"/>
        <v>4176123</v>
      </c>
      <c r="D1749" s="61">
        <f t="shared" si="135"/>
        <v>1</v>
      </c>
      <c r="E1749" s="64">
        <f t="shared" si="137"/>
        <v>417.61226035642198</v>
      </c>
      <c r="F1749" s="62" t="str">
        <f t="shared" si="138"/>
        <v/>
      </c>
    </row>
    <row r="1750" spans="1:6">
      <c r="A1750" s="60">
        <v>174500</v>
      </c>
      <c r="B1750" s="60">
        <f t="shared" si="136"/>
        <v>4177320</v>
      </c>
      <c r="C1750" s="60">
        <f t="shared" si="139"/>
        <v>4177320</v>
      </c>
      <c r="D1750" s="61">
        <f t="shared" si="135"/>
        <v>1</v>
      </c>
      <c r="E1750" s="64">
        <f t="shared" si="137"/>
        <v>417.73197148410844</v>
      </c>
      <c r="F1750" s="62" t="str">
        <f t="shared" si="138"/>
        <v/>
      </c>
    </row>
    <row r="1751" spans="1:6">
      <c r="A1751" s="60">
        <v>174600</v>
      </c>
      <c r="B1751" s="60">
        <f t="shared" si="136"/>
        <v>4178516</v>
      </c>
      <c r="C1751" s="60">
        <f t="shared" si="139"/>
        <v>4178516</v>
      </c>
      <c r="D1751" s="61">
        <f t="shared" si="135"/>
        <v>1</v>
      </c>
      <c r="E1751" s="64">
        <f t="shared" si="137"/>
        <v>417.85164831552356</v>
      </c>
      <c r="F1751" s="62" t="str">
        <f t="shared" si="138"/>
        <v/>
      </c>
    </row>
    <row r="1752" spans="1:6">
      <c r="A1752" s="60">
        <v>174700</v>
      </c>
      <c r="B1752" s="60">
        <f t="shared" si="136"/>
        <v>4179713</v>
      </c>
      <c r="C1752" s="60">
        <f t="shared" si="139"/>
        <v>4179713</v>
      </c>
      <c r="D1752" s="61">
        <f t="shared" si="135"/>
        <v>1</v>
      </c>
      <c r="E1752" s="64">
        <f t="shared" si="137"/>
        <v>417.9712908801273</v>
      </c>
      <c r="F1752" s="62" t="str">
        <f t="shared" si="138"/>
        <v/>
      </c>
    </row>
    <row r="1753" spans="1:6">
      <c r="A1753" s="60">
        <v>174800</v>
      </c>
      <c r="B1753" s="60">
        <f t="shared" si="136"/>
        <v>4180909</v>
      </c>
      <c r="C1753" s="60">
        <f t="shared" si="139"/>
        <v>4180909</v>
      </c>
      <c r="D1753" s="61">
        <f t="shared" si="135"/>
        <v>1</v>
      </c>
      <c r="E1753" s="64">
        <f t="shared" si="137"/>
        <v>418.09089920733743</v>
      </c>
      <c r="F1753" s="62" t="str">
        <f t="shared" si="138"/>
        <v/>
      </c>
    </row>
    <row r="1754" spans="1:6">
      <c r="A1754" s="60">
        <v>174900</v>
      </c>
      <c r="B1754" s="60">
        <f t="shared" si="136"/>
        <v>4182105</v>
      </c>
      <c r="C1754" s="60">
        <f t="shared" si="139"/>
        <v>4182105</v>
      </c>
      <c r="D1754" s="61">
        <f t="shared" si="135"/>
        <v>1</v>
      </c>
      <c r="E1754" s="64">
        <f t="shared" si="137"/>
        <v>418.21047332652967</v>
      </c>
      <c r="F1754" s="62" t="str">
        <f t="shared" si="138"/>
        <v/>
      </c>
    </row>
    <row r="1755" spans="1:6">
      <c r="A1755" s="60">
        <v>175000</v>
      </c>
      <c r="B1755" s="60">
        <f t="shared" si="136"/>
        <v>4183300</v>
      </c>
      <c r="C1755" s="60">
        <f t="shared" si="139"/>
        <v>4183300</v>
      </c>
      <c r="D1755" s="61">
        <f t="shared" si="135"/>
        <v>1</v>
      </c>
      <c r="E1755" s="64">
        <f t="shared" si="137"/>
        <v>418.33001326703777</v>
      </c>
      <c r="F1755" s="62" t="str">
        <f t="shared" si="138"/>
        <v/>
      </c>
    </row>
    <row r="1756" spans="1:6">
      <c r="A1756" s="60">
        <v>175100</v>
      </c>
      <c r="B1756" s="60">
        <f t="shared" si="136"/>
        <v>4184495</v>
      </c>
      <c r="C1756" s="60">
        <f t="shared" si="139"/>
        <v>4184495</v>
      </c>
      <c r="D1756" s="61">
        <f t="shared" si="135"/>
        <v>1</v>
      </c>
      <c r="E1756" s="64">
        <f t="shared" si="137"/>
        <v>418.44951905815356</v>
      </c>
      <c r="F1756" s="62" t="str">
        <f t="shared" si="138"/>
        <v/>
      </c>
    </row>
    <row r="1757" spans="1:6">
      <c r="A1757" s="60">
        <v>175200</v>
      </c>
      <c r="B1757" s="60">
        <f t="shared" si="136"/>
        <v>4185690</v>
      </c>
      <c r="C1757" s="60">
        <f t="shared" si="139"/>
        <v>4185690</v>
      </c>
      <c r="D1757" s="61">
        <f t="shared" si="135"/>
        <v>1</v>
      </c>
      <c r="E1757" s="64">
        <f t="shared" si="137"/>
        <v>418.56899072912699</v>
      </c>
      <c r="F1757" s="62" t="str">
        <f t="shared" si="138"/>
        <v/>
      </c>
    </row>
    <row r="1758" spans="1:6">
      <c r="A1758" s="60">
        <v>175300</v>
      </c>
      <c r="B1758" s="60">
        <f t="shared" si="136"/>
        <v>4186884</v>
      </c>
      <c r="C1758" s="60">
        <f t="shared" si="139"/>
        <v>4186884</v>
      </c>
      <c r="D1758" s="61">
        <f t="shared" si="135"/>
        <v>1</v>
      </c>
      <c r="E1758" s="64">
        <f t="shared" si="137"/>
        <v>418.68842830916645</v>
      </c>
      <c r="F1758" s="62" t="str">
        <f t="shared" si="138"/>
        <v/>
      </c>
    </row>
    <row r="1759" spans="1:6">
      <c r="A1759" s="60">
        <v>175400</v>
      </c>
      <c r="B1759" s="60">
        <f t="shared" si="136"/>
        <v>4188078</v>
      </c>
      <c r="C1759" s="60">
        <f t="shared" si="139"/>
        <v>4188078</v>
      </c>
      <c r="D1759" s="61">
        <f t="shared" si="135"/>
        <v>1</v>
      </c>
      <c r="E1759" s="64">
        <f t="shared" si="137"/>
        <v>418.80783182743846</v>
      </c>
      <c r="F1759" s="62" t="str">
        <f t="shared" si="138"/>
        <v/>
      </c>
    </row>
    <row r="1760" spans="1:6">
      <c r="A1760" s="60">
        <v>175500</v>
      </c>
      <c r="B1760" s="60">
        <f t="shared" si="136"/>
        <v>4189272</v>
      </c>
      <c r="C1760" s="60">
        <f t="shared" si="139"/>
        <v>4189272</v>
      </c>
      <c r="D1760" s="61">
        <f t="shared" si="135"/>
        <v>1</v>
      </c>
      <c r="E1760" s="64">
        <f t="shared" si="137"/>
        <v>418.92720131306822</v>
      </c>
      <c r="F1760" s="62" t="str">
        <f t="shared" si="138"/>
        <v/>
      </c>
    </row>
    <row r="1761" spans="1:6">
      <c r="A1761" s="60">
        <v>175600</v>
      </c>
      <c r="B1761" s="60">
        <f t="shared" si="136"/>
        <v>4190465</v>
      </c>
      <c r="C1761" s="60">
        <f t="shared" si="139"/>
        <v>4190465</v>
      </c>
      <c r="D1761" s="61">
        <f t="shared" si="135"/>
        <v>1</v>
      </c>
      <c r="E1761" s="64">
        <f t="shared" si="137"/>
        <v>419.04653679513928</v>
      </c>
      <c r="F1761" s="62" t="str">
        <f t="shared" si="138"/>
        <v/>
      </c>
    </row>
    <row r="1762" spans="1:6">
      <c r="A1762" s="60">
        <v>175700</v>
      </c>
      <c r="B1762" s="60">
        <f t="shared" si="136"/>
        <v>4191658</v>
      </c>
      <c r="C1762" s="60">
        <f t="shared" si="139"/>
        <v>4191658</v>
      </c>
      <c r="D1762" s="61">
        <f t="shared" si="135"/>
        <v>1</v>
      </c>
      <c r="E1762" s="64">
        <f t="shared" si="137"/>
        <v>419.16583830269377</v>
      </c>
      <c r="F1762" s="62" t="str">
        <f t="shared" si="138"/>
        <v/>
      </c>
    </row>
    <row r="1763" spans="1:6">
      <c r="A1763" s="60">
        <v>175800</v>
      </c>
      <c r="B1763" s="60">
        <f t="shared" si="136"/>
        <v>4192851</v>
      </c>
      <c r="C1763" s="60">
        <f t="shared" si="139"/>
        <v>4192851</v>
      </c>
      <c r="D1763" s="61">
        <f t="shared" si="135"/>
        <v>1</v>
      </c>
      <c r="E1763" s="64">
        <f t="shared" si="137"/>
        <v>419.2851058647326</v>
      </c>
      <c r="F1763" s="62" t="str">
        <f t="shared" si="138"/>
        <v/>
      </c>
    </row>
    <row r="1764" spans="1:6">
      <c r="A1764" s="60">
        <v>175900</v>
      </c>
      <c r="B1764" s="60">
        <f t="shared" si="136"/>
        <v>4194043</v>
      </c>
      <c r="C1764" s="60">
        <f t="shared" si="139"/>
        <v>4194043</v>
      </c>
      <c r="D1764" s="61">
        <f t="shared" si="135"/>
        <v>1</v>
      </c>
      <c r="E1764" s="64">
        <f t="shared" si="137"/>
        <v>419.40433951021538</v>
      </c>
      <c r="F1764" s="62" t="str">
        <f t="shared" si="138"/>
        <v/>
      </c>
    </row>
    <row r="1765" spans="1:6">
      <c r="A1765" s="60">
        <v>176000</v>
      </c>
      <c r="B1765" s="60">
        <f t="shared" si="136"/>
        <v>4195235</v>
      </c>
      <c r="C1765" s="60">
        <f t="shared" si="139"/>
        <v>4195235</v>
      </c>
      <c r="D1765" s="61">
        <f t="shared" si="135"/>
        <v>1</v>
      </c>
      <c r="E1765" s="64">
        <f t="shared" si="137"/>
        <v>419.52353926806063</v>
      </c>
      <c r="F1765" s="62" t="str">
        <f t="shared" si="138"/>
        <v/>
      </c>
    </row>
    <row r="1766" spans="1:6">
      <c r="A1766" s="60">
        <v>176100</v>
      </c>
      <c r="B1766" s="60">
        <f t="shared" si="136"/>
        <v>4196427</v>
      </c>
      <c r="C1766" s="60">
        <f t="shared" si="139"/>
        <v>4196427</v>
      </c>
      <c r="D1766" s="61">
        <f t="shared" si="135"/>
        <v>1</v>
      </c>
      <c r="E1766" s="64">
        <f t="shared" si="137"/>
        <v>419.64270516714572</v>
      </c>
      <c r="F1766" s="62" t="str">
        <f t="shared" si="138"/>
        <v/>
      </c>
    </row>
    <row r="1767" spans="1:6">
      <c r="A1767" s="60">
        <v>176200</v>
      </c>
      <c r="B1767" s="60">
        <f t="shared" si="136"/>
        <v>4197618</v>
      </c>
      <c r="C1767" s="60">
        <f t="shared" si="139"/>
        <v>4197618</v>
      </c>
      <c r="D1767" s="61">
        <f t="shared" si="135"/>
        <v>1</v>
      </c>
      <c r="E1767" s="64">
        <f t="shared" si="137"/>
        <v>419.76183723630714</v>
      </c>
      <c r="F1767" s="62" t="str">
        <f t="shared" si="138"/>
        <v/>
      </c>
    </row>
    <row r="1768" spans="1:6">
      <c r="A1768" s="60">
        <v>176300</v>
      </c>
      <c r="B1768" s="60">
        <f t="shared" si="136"/>
        <v>4198809</v>
      </c>
      <c r="C1768" s="60">
        <f t="shared" si="139"/>
        <v>4198809</v>
      </c>
      <c r="D1768" s="61">
        <f t="shared" si="135"/>
        <v>1</v>
      </c>
      <c r="E1768" s="64">
        <f t="shared" si="137"/>
        <v>419.8809355043403</v>
      </c>
      <c r="F1768" s="62" t="str">
        <f t="shared" si="138"/>
        <v/>
      </c>
    </row>
    <row r="1769" spans="1:6">
      <c r="A1769" s="60">
        <v>176400</v>
      </c>
      <c r="B1769" s="60">
        <f t="shared" si="136"/>
        <v>4200000</v>
      </c>
      <c r="C1769" s="60">
        <f t="shared" si="139"/>
        <v>4200000</v>
      </c>
      <c r="D1769" s="61">
        <f t="shared" si="135"/>
        <v>1</v>
      </c>
      <c r="E1769" s="64">
        <f t="shared" si="137"/>
        <v>420</v>
      </c>
      <c r="F1769" s="62" t="str">
        <f t="shared" si="138"/>
        <v/>
      </c>
    </row>
    <row r="1770" spans="1:6">
      <c r="A1770" s="60">
        <v>176500</v>
      </c>
      <c r="B1770" s="60">
        <f t="shared" si="136"/>
        <v>4201190</v>
      </c>
      <c r="C1770" s="60">
        <f t="shared" si="139"/>
        <v>4201190</v>
      </c>
      <c r="D1770" s="61">
        <f t="shared" si="135"/>
        <v>1</v>
      </c>
      <c r="E1770" s="64">
        <f t="shared" si="137"/>
        <v>420.11903075200007</v>
      </c>
      <c r="F1770" s="62" t="str">
        <f t="shared" si="138"/>
        <v/>
      </c>
    </row>
    <row r="1771" spans="1:6">
      <c r="A1771" s="60">
        <v>176600</v>
      </c>
      <c r="B1771" s="60">
        <f t="shared" si="136"/>
        <v>4202380</v>
      </c>
      <c r="C1771" s="60">
        <f t="shared" si="139"/>
        <v>4202380</v>
      </c>
      <c r="D1771" s="61">
        <f t="shared" si="135"/>
        <v>1</v>
      </c>
      <c r="E1771" s="64">
        <f t="shared" si="137"/>
        <v>420.23802778901387</v>
      </c>
      <c r="F1771" s="62" t="str">
        <f t="shared" si="138"/>
        <v/>
      </c>
    </row>
    <row r="1772" spans="1:6">
      <c r="A1772" s="60">
        <v>176700</v>
      </c>
      <c r="B1772" s="60">
        <f t="shared" si="136"/>
        <v>4203570</v>
      </c>
      <c r="C1772" s="60">
        <f t="shared" si="139"/>
        <v>4203570</v>
      </c>
      <c r="D1772" s="61">
        <f t="shared" si="135"/>
        <v>1</v>
      </c>
      <c r="E1772" s="64">
        <f t="shared" si="137"/>
        <v>420.35699113967405</v>
      </c>
      <c r="F1772" s="62" t="str">
        <f t="shared" si="138"/>
        <v/>
      </c>
    </row>
    <row r="1773" spans="1:6">
      <c r="A1773" s="60">
        <v>176800</v>
      </c>
      <c r="B1773" s="60">
        <f t="shared" si="136"/>
        <v>4204759</v>
      </c>
      <c r="C1773" s="60">
        <f t="shared" si="139"/>
        <v>4204759</v>
      </c>
      <c r="D1773" s="61">
        <f t="shared" si="135"/>
        <v>1</v>
      </c>
      <c r="E1773" s="64">
        <f t="shared" si="137"/>
        <v>420.47592083257274</v>
      </c>
      <c r="F1773" s="62" t="str">
        <f t="shared" si="138"/>
        <v/>
      </c>
    </row>
    <row r="1774" spans="1:6">
      <c r="A1774" s="60">
        <v>176900</v>
      </c>
      <c r="B1774" s="60">
        <f t="shared" si="136"/>
        <v>4205948</v>
      </c>
      <c r="C1774" s="60">
        <f t="shared" si="139"/>
        <v>4205948</v>
      </c>
      <c r="D1774" s="61">
        <f t="shared" si="135"/>
        <v>1</v>
      </c>
      <c r="E1774" s="64">
        <f t="shared" si="137"/>
        <v>420.59481689626182</v>
      </c>
      <c r="F1774" s="62" t="str">
        <f t="shared" si="138"/>
        <v/>
      </c>
    </row>
    <row r="1775" spans="1:6">
      <c r="A1775" s="60">
        <v>177000</v>
      </c>
      <c r="B1775" s="60">
        <f t="shared" si="136"/>
        <v>4207137</v>
      </c>
      <c r="C1775" s="60">
        <f t="shared" si="139"/>
        <v>4207137</v>
      </c>
      <c r="D1775" s="61">
        <f t="shared" si="135"/>
        <v>1</v>
      </c>
      <c r="E1775" s="64">
        <f t="shared" si="137"/>
        <v>420.71367935925258</v>
      </c>
      <c r="F1775" s="62" t="str">
        <f t="shared" si="138"/>
        <v/>
      </c>
    </row>
    <row r="1776" spans="1:6">
      <c r="A1776" s="60">
        <v>177100</v>
      </c>
      <c r="B1776" s="60">
        <f t="shared" si="136"/>
        <v>4208325</v>
      </c>
      <c r="C1776" s="60">
        <f t="shared" si="139"/>
        <v>4208325</v>
      </c>
      <c r="D1776" s="61">
        <f t="shared" si="135"/>
        <v>1</v>
      </c>
      <c r="E1776" s="64">
        <f t="shared" si="137"/>
        <v>420.83250825001625</v>
      </c>
      <c r="F1776" s="62" t="str">
        <f t="shared" si="138"/>
        <v/>
      </c>
    </row>
    <row r="1777" spans="1:6">
      <c r="A1777" s="60">
        <v>177200</v>
      </c>
      <c r="B1777" s="60">
        <f t="shared" si="136"/>
        <v>4209513</v>
      </c>
      <c r="C1777" s="60">
        <f t="shared" si="139"/>
        <v>4209513</v>
      </c>
      <c r="D1777" s="61">
        <f t="shared" si="135"/>
        <v>1</v>
      </c>
      <c r="E1777" s="64">
        <f t="shared" si="137"/>
        <v>420.95130359698379</v>
      </c>
      <c r="F1777" s="62" t="str">
        <f t="shared" si="138"/>
        <v/>
      </c>
    </row>
    <row r="1778" spans="1:6">
      <c r="A1778" s="60">
        <v>177300</v>
      </c>
      <c r="B1778" s="60">
        <f t="shared" si="136"/>
        <v>4210701</v>
      </c>
      <c r="C1778" s="60">
        <f t="shared" si="139"/>
        <v>4210701</v>
      </c>
      <c r="D1778" s="61">
        <f t="shared" si="135"/>
        <v>1</v>
      </c>
      <c r="E1778" s="64">
        <f t="shared" si="137"/>
        <v>421.070065428546</v>
      </c>
      <c r="F1778" s="62" t="str">
        <f t="shared" si="138"/>
        <v/>
      </c>
    </row>
    <row r="1779" spans="1:6">
      <c r="A1779" s="60">
        <v>177400</v>
      </c>
      <c r="B1779" s="60">
        <f t="shared" si="136"/>
        <v>4211888</v>
      </c>
      <c r="C1779" s="60">
        <f t="shared" si="139"/>
        <v>4211888</v>
      </c>
      <c r="D1779" s="61">
        <f t="shared" si="135"/>
        <v>1</v>
      </c>
      <c r="E1779" s="64">
        <f t="shared" si="137"/>
        <v>421.18879377305376</v>
      </c>
      <c r="F1779" s="62" t="str">
        <f t="shared" si="138"/>
        <v/>
      </c>
    </row>
    <row r="1780" spans="1:6">
      <c r="A1780" s="60">
        <v>177500</v>
      </c>
      <c r="B1780" s="60">
        <f t="shared" si="136"/>
        <v>4213075</v>
      </c>
      <c r="C1780" s="60">
        <f t="shared" si="139"/>
        <v>4213075</v>
      </c>
      <c r="D1780" s="61">
        <f t="shared" si="135"/>
        <v>1</v>
      </c>
      <c r="E1780" s="64">
        <f t="shared" si="137"/>
        <v>421.30748865881793</v>
      </c>
      <c r="F1780" s="62" t="str">
        <f t="shared" si="138"/>
        <v/>
      </c>
    </row>
    <row r="1781" spans="1:6">
      <c r="A1781" s="60">
        <v>177600</v>
      </c>
      <c r="B1781" s="60">
        <f t="shared" si="136"/>
        <v>4214262</v>
      </c>
      <c r="C1781" s="60">
        <f t="shared" si="139"/>
        <v>4214262</v>
      </c>
      <c r="D1781" s="61">
        <f t="shared" si="135"/>
        <v>1</v>
      </c>
      <c r="E1781" s="64">
        <f t="shared" si="137"/>
        <v>421.42615011410953</v>
      </c>
      <c r="F1781" s="62" t="str">
        <f t="shared" si="138"/>
        <v/>
      </c>
    </row>
    <row r="1782" spans="1:6">
      <c r="A1782" s="60">
        <v>177700</v>
      </c>
      <c r="B1782" s="60">
        <f t="shared" si="136"/>
        <v>4215448</v>
      </c>
      <c r="C1782" s="60">
        <f t="shared" si="139"/>
        <v>4215448</v>
      </c>
      <c r="D1782" s="61">
        <f t="shared" si="135"/>
        <v>1</v>
      </c>
      <c r="E1782" s="64">
        <f t="shared" si="137"/>
        <v>421.54477816715985</v>
      </c>
      <c r="F1782" s="62" t="str">
        <f t="shared" si="138"/>
        <v/>
      </c>
    </row>
    <row r="1783" spans="1:6">
      <c r="A1783" s="60">
        <v>177800</v>
      </c>
      <c r="B1783" s="60">
        <f t="shared" si="136"/>
        <v>4216634</v>
      </c>
      <c r="C1783" s="60">
        <f t="shared" si="139"/>
        <v>4216634</v>
      </c>
      <c r="D1783" s="61">
        <f t="shared" si="135"/>
        <v>1</v>
      </c>
      <c r="E1783" s="64">
        <f t="shared" si="137"/>
        <v>421.66337284616031</v>
      </c>
      <c r="F1783" s="62" t="str">
        <f t="shared" si="138"/>
        <v/>
      </c>
    </row>
    <row r="1784" spans="1:6">
      <c r="A1784" s="60">
        <v>177900</v>
      </c>
      <c r="B1784" s="60">
        <f t="shared" si="136"/>
        <v>4217819</v>
      </c>
      <c r="C1784" s="60">
        <f t="shared" si="139"/>
        <v>4217819</v>
      </c>
      <c r="D1784" s="61">
        <f t="shared" si="135"/>
        <v>1</v>
      </c>
      <c r="E1784" s="64">
        <f t="shared" si="137"/>
        <v>421.78193417926281</v>
      </c>
      <c r="F1784" s="62" t="str">
        <f t="shared" si="138"/>
        <v/>
      </c>
    </row>
    <row r="1785" spans="1:6">
      <c r="A1785" s="60">
        <v>178000</v>
      </c>
      <c r="B1785" s="60">
        <f t="shared" si="136"/>
        <v>4219005</v>
      </c>
      <c r="C1785" s="60">
        <f t="shared" si="139"/>
        <v>4219005</v>
      </c>
      <c r="D1785" s="61">
        <f t="shared" si="135"/>
        <v>1</v>
      </c>
      <c r="E1785" s="64">
        <f t="shared" si="137"/>
        <v>421.90046219457975</v>
      </c>
      <c r="F1785" s="62" t="str">
        <f t="shared" si="138"/>
        <v/>
      </c>
    </row>
    <row r="1786" spans="1:6">
      <c r="A1786" s="60">
        <v>178100</v>
      </c>
      <c r="B1786" s="60">
        <f t="shared" si="136"/>
        <v>4220190</v>
      </c>
      <c r="C1786" s="60">
        <f t="shared" si="139"/>
        <v>4220190</v>
      </c>
      <c r="D1786" s="61">
        <f t="shared" si="135"/>
        <v>1</v>
      </c>
      <c r="E1786" s="64">
        <f t="shared" si="137"/>
        <v>422.01895692018388</v>
      </c>
      <c r="F1786" s="62" t="str">
        <f t="shared" si="138"/>
        <v/>
      </c>
    </row>
    <row r="1787" spans="1:6">
      <c r="A1787" s="60">
        <v>178200</v>
      </c>
      <c r="B1787" s="60">
        <f t="shared" si="136"/>
        <v>4221374</v>
      </c>
      <c r="C1787" s="60">
        <f t="shared" si="139"/>
        <v>4221374</v>
      </c>
      <c r="D1787" s="61">
        <f t="shared" si="135"/>
        <v>1</v>
      </c>
      <c r="E1787" s="64">
        <f t="shared" si="137"/>
        <v>422.13741838410868</v>
      </c>
      <c r="F1787" s="62" t="str">
        <f t="shared" si="138"/>
        <v/>
      </c>
    </row>
    <row r="1788" spans="1:6">
      <c r="A1788" s="60">
        <v>178300</v>
      </c>
      <c r="B1788" s="60">
        <f t="shared" si="136"/>
        <v>4222558</v>
      </c>
      <c r="C1788" s="60">
        <f t="shared" si="139"/>
        <v>4222558</v>
      </c>
      <c r="D1788" s="61">
        <f t="shared" si="135"/>
        <v>1</v>
      </c>
      <c r="E1788" s="64">
        <f t="shared" si="137"/>
        <v>422.25584661434823</v>
      </c>
      <c r="F1788" s="62" t="str">
        <f t="shared" si="138"/>
        <v/>
      </c>
    </row>
    <row r="1789" spans="1:6">
      <c r="A1789" s="60">
        <v>178400</v>
      </c>
      <c r="B1789" s="60">
        <f t="shared" si="136"/>
        <v>4223742</v>
      </c>
      <c r="C1789" s="60">
        <f t="shared" si="139"/>
        <v>4223742</v>
      </c>
      <c r="D1789" s="61">
        <f t="shared" si="135"/>
        <v>1</v>
      </c>
      <c r="E1789" s="64">
        <f t="shared" si="137"/>
        <v>422.37424163885754</v>
      </c>
      <c r="F1789" s="62" t="str">
        <f t="shared" si="138"/>
        <v/>
      </c>
    </row>
    <row r="1790" spans="1:6">
      <c r="A1790" s="60">
        <v>178500</v>
      </c>
      <c r="B1790" s="60">
        <f t="shared" si="136"/>
        <v>4224926</v>
      </c>
      <c r="C1790" s="60">
        <f t="shared" si="139"/>
        <v>4224926</v>
      </c>
      <c r="D1790" s="61">
        <f t="shared" si="135"/>
        <v>1</v>
      </c>
      <c r="E1790" s="64">
        <f t="shared" si="137"/>
        <v>422.49260348555214</v>
      </c>
      <c r="F1790" s="62" t="str">
        <f t="shared" si="138"/>
        <v/>
      </c>
    </row>
    <row r="1791" spans="1:6">
      <c r="A1791" s="60">
        <v>178600</v>
      </c>
      <c r="B1791" s="60">
        <f t="shared" si="136"/>
        <v>4226109</v>
      </c>
      <c r="C1791" s="60">
        <f t="shared" si="139"/>
        <v>4226109</v>
      </c>
      <c r="D1791" s="61">
        <f t="shared" si="135"/>
        <v>1</v>
      </c>
      <c r="E1791" s="64">
        <f t="shared" si="137"/>
        <v>422.61093218230877</v>
      </c>
      <c r="F1791" s="62" t="str">
        <f t="shared" si="138"/>
        <v/>
      </c>
    </row>
    <row r="1792" spans="1:6">
      <c r="A1792" s="60">
        <v>178700</v>
      </c>
      <c r="B1792" s="60">
        <f t="shared" si="136"/>
        <v>4227292</v>
      </c>
      <c r="C1792" s="60">
        <f t="shared" si="139"/>
        <v>4227292</v>
      </c>
      <c r="D1792" s="61">
        <f t="shared" si="135"/>
        <v>1</v>
      </c>
      <c r="E1792" s="64">
        <f t="shared" si="137"/>
        <v>422.72922775696503</v>
      </c>
      <c r="F1792" s="62" t="str">
        <f t="shared" si="138"/>
        <v/>
      </c>
    </row>
    <row r="1793" spans="1:6">
      <c r="A1793" s="60">
        <v>178800</v>
      </c>
      <c r="B1793" s="60">
        <f t="shared" si="136"/>
        <v>4228475</v>
      </c>
      <c r="C1793" s="60">
        <f t="shared" si="139"/>
        <v>4228475</v>
      </c>
      <c r="D1793" s="61">
        <f t="shared" si="135"/>
        <v>1</v>
      </c>
      <c r="E1793" s="64">
        <f t="shared" si="137"/>
        <v>422.84749023731951</v>
      </c>
      <c r="F1793" s="62" t="str">
        <f t="shared" si="138"/>
        <v/>
      </c>
    </row>
    <row r="1794" spans="1:6">
      <c r="A1794" s="60">
        <v>178900</v>
      </c>
      <c r="B1794" s="60">
        <f t="shared" si="136"/>
        <v>4229657</v>
      </c>
      <c r="C1794" s="60">
        <f t="shared" si="139"/>
        <v>4229657</v>
      </c>
      <c r="D1794" s="61">
        <f t="shared" si="135"/>
        <v>1</v>
      </c>
      <c r="E1794" s="64">
        <f t="shared" si="137"/>
        <v>422.96571965113202</v>
      </c>
      <c r="F1794" s="62" t="str">
        <f t="shared" si="138"/>
        <v/>
      </c>
    </row>
    <row r="1795" spans="1:6">
      <c r="A1795" s="60">
        <v>179000</v>
      </c>
      <c r="B1795" s="60">
        <f t="shared" si="136"/>
        <v>4230839</v>
      </c>
      <c r="C1795" s="60">
        <f t="shared" si="139"/>
        <v>4230839</v>
      </c>
      <c r="D1795" s="61">
        <f t="shared" si="135"/>
        <v>1</v>
      </c>
      <c r="E1795" s="64">
        <f t="shared" si="137"/>
        <v>423.08391602612357</v>
      </c>
      <c r="F1795" s="62" t="str">
        <f t="shared" si="138"/>
        <v/>
      </c>
    </row>
    <row r="1796" spans="1:6">
      <c r="A1796" s="60">
        <v>179100</v>
      </c>
      <c r="B1796" s="60">
        <f t="shared" si="136"/>
        <v>4232021</v>
      </c>
      <c r="C1796" s="60">
        <f t="shared" si="139"/>
        <v>4232021</v>
      </c>
      <c r="D1796" s="61">
        <f t="shared" si="135"/>
        <v>1</v>
      </c>
      <c r="E1796" s="64">
        <f t="shared" si="137"/>
        <v>423.20207938997652</v>
      </c>
      <c r="F1796" s="62" t="str">
        <f t="shared" si="138"/>
        <v/>
      </c>
    </row>
    <row r="1797" spans="1:6">
      <c r="A1797" s="60">
        <v>179200</v>
      </c>
      <c r="B1797" s="60">
        <f t="shared" si="136"/>
        <v>4233202</v>
      </c>
      <c r="C1797" s="60">
        <f t="shared" si="139"/>
        <v>4233202</v>
      </c>
      <c r="D1797" s="61">
        <f t="shared" ref="D1797:D1860" si="140">(A1797-INDEX(兵力区间,MATCH(A1797,兵力区间,1)))/(INDEX(兵力区间,MATCH(A1797,兵力区间,1)+1)-INDEX(兵力区间,MATCH(A1797,兵力区间,1)))*((INDEX(兵力调节,MATCH(A1797,兵力区间,1)+1,2)-INDEX(兵力调节,MATCH(A1797,兵力区间,1),2)))+INDEX(兵力调节,MATCH(A1797,兵力区间,1),2)</f>
        <v>1</v>
      </c>
      <c r="E1797" s="64">
        <f t="shared" si="137"/>
        <v>423.32020977033449</v>
      </c>
      <c r="F1797" s="62" t="str">
        <f t="shared" si="138"/>
        <v/>
      </c>
    </row>
    <row r="1798" spans="1:6">
      <c r="A1798" s="60">
        <v>179300</v>
      </c>
      <c r="B1798" s="60">
        <f t="shared" si="136"/>
        <v>4234383</v>
      </c>
      <c r="C1798" s="60">
        <f t="shared" si="139"/>
        <v>4234383</v>
      </c>
      <c r="D1798" s="61">
        <f t="shared" si="140"/>
        <v>1</v>
      </c>
      <c r="E1798" s="64">
        <f t="shared" si="137"/>
        <v>423.43830719480258</v>
      </c>
      <c r="F1798" s="62" t="str">
        <f t="shared" si="138"/>
        <v/>
      </c>
    </row>
    <row r="1799" spans="1:6">
      <c r="A1799" s="60">
        <v>179400</v>
      </c>
      <c r="B1799" s="60">
        <f t="shared" ref="B1799:B1862" si="141">ROUND(D1799*E1799*10000,0)</f>
        <v>4235564</v>
      </c>
      <c r="C1799" s="60">
        <f t="shared" si="139"/>
        <v>4235564</v>
      </c>
      <c r="D1799" s="61">
        <f t="shared" si="140"/>
        <v>1</v>
      </c>
      <c r="E1799" s="64">
        <f t="shared" ref="E1799:E1862" si="142">A1799^0.5</f>
        <v>423.5563716909474</v>
      </c>
      <c r="F1799" s="62" t="str">
        <f t="shared" si="138"/>
        <v/>
      </c>
    </row>
    <row r="1800" spans="1:6">
      <c r="A1800" s="60">
        <v>179500</v>
      </c>
      <c r="B1800" s="60">
        <f t="shared" si="141"/>
        <v>4236744</v>
      </c>
      <c r="C1800" s="60">
        <f t="shared" si="139"/>
        <v>4236744</v>
      </c>
      <c r="D1800" s="61">
        <f t="shared" si="140"/>
        <v>1</v>
      </c>
      <c r="E1800" s="64">
        <f t="shared" si="142"/>
        <v>423.67440328629721</v>
      </c>
      <c r="F1800" s="62" t="str">
        <f t="shared" ref="F1800:F1863" si="143">IF(B1800&lt;B1799,1,"")</f>
        <v/>
      </c>
    </row>
    <row r="1801" spans="1:6">
      <c r="A1801" s="60">
        <v>179600</v>
      </c>
      <c r="B1801" s="60">
        <f t="shared" si="141"/>
        <v>4237924</v>
      </c>
      <c r="C1801" s="60">
        <f t="shared" si="139"/>
        <v>4237924</v>
      </c>
      <c r="D1801" s="61">
        <f t="shared" si="140"/>
        <v>1</v>
      </c>
      <c r="E1801" s="64">
        <f t="shared" si="142"/>
        <v>423.79240200834181</v>
      </c>
      <c r="F1801" s="62" t="str">
        <f t="shared" si="143"/>
        <v/>
      </c>
    </row>
    <row r="1802" spans="1:6">
      <c r="A1802" s="60">
        <v>179700</v>
      </c>
      <c r="B1802" s="60">
        <f t="shared" si="141"/>
        <v>4239104</v>
      </c>
      <c r="C1802" s="60">
        <f t="shared" si="139"/>
        <v>4239104</v>
      </c>
      <c r="D1802" s="61">
        <f t="shared" si="140"/>
        <v>1</v>
      </c>
      <c r="E1802" s="64">
        <f t="shared" si="142"/>
        <v>423.91036788453289</v>
      </c>
      <c r="F1802" s="62" t="str">
        <f t="shared" si="143"/>
        <v/>
      </c>
    </row>
    <row r="1803" spans="1:6">
      <c r="A1803" s="60">
        <v>179800</v>
      </c>
      <c r="B1803" s="60">
        <f t="shared" si="141"/>
        <v>4240283</v>
      </c>
      <c r="C1803" s="60">
        <f t="shared" ref="C1803:C1866" si="144">ROUND(D1803*E1803*10000,0)</f>
        <v>4240283</v>
      </c>
      <c r="D1803" s="61">
        <f t="shared" si="140"/>
        <v>1</v>
      </c>
      <c r="E1803" s="64">
        <f t="shared" si="142"/>
        <v>424.02830094228381</v>
      </c>
      <c r="F1803" s="62" t="str">
        <f t="shared" si="143"/>
        <v/>
      </c>
    </row>
    <row r="1804" spans="1:6">
      <c r="A1804" s="60">
        <v>179900</v>
      </c>
      <c r="B1804" s="60">
        <f t="shared" si="141"/>
        <v>4241462</v>
      </c>
      <c r="C1804" s="60">
        <f t="shared" si="144"/>
        <v>4241462</v>
      </c>
      <c r="D1804" s="61">
        <f t="shared" si="140"/>
        <v>1</v>
      </c>
      <c r="E1804" s="64">
        <f t="shared" si="142"/>
        <v>424.1462012089699</v>
      </c>
      <c r="F1804" s="62" t="str">
        <f t="shared" si="143"/>
        <v/>
      </c>
    </row>
    <row r="1805" spans="1:6">
      <c r="A1805" s="60">
        <v>180000</v>
      </c>
      <c r="B1805" s="60">
        <f t="shared" si="141"/>
        <v>4242641</v>
      </c>
      <c r="C1805" s="60">
        <f t="shared" si="144"/>
        <v>4242641</v>
      </c>
      <c r="D1805" s="61">
        <f t="shared" si="140"/>
        <v>1</v>
      </c>
      <c r="E1805" s="64">
        <f t="shared" si="142"/>
        <v>424.26406871192853</v>
      </c>
      <c r="F1805" s="62" t="str">
        <f t="shared" si="143"/>
        <v/>
      </c>
    </row>
    <row r="1806" spans="1:6">
      <c r="A1806" s="60">
        <v>180100</v>
      </c>
      <c r="B1806" s="60">
        <f t="shared" si="141"/>
        <v>4243819</v>
      </c>
      <c r="C1806" s="60">
        <f t="shared" si="144"/>
        <v>4243819</v>
      </c>
      <c r="D1806" s="61">
        <f t="shared" si="140"/>
        <v>1</v>
      </c>
      <c r="E1806" s="64">
        <f t="shared" si="142"/>
        <v>424.38190347845887</v>
      </c>
      <c r="F1806" s="62" t="str">
        <f t="shared" si="143"/>
        <v/>
      </c>
    </row>
    <row r="1807" spans="1:6">
      <c r="A1807" s="60">
        <v>180200</v>
      </c>
      <c r="B1807" s="60">
        <f t="shared" si="141"/>
        <v>4244997</v>
      </c>
      <c r="C1807" s="60">
        <f t="shared" si="144"/>
        <v>4244997</v>
      </c>
      <c r="D1807" s="61">
        <f t="shared" si="140"/>
        <v>1</v>
      </c>
      <c r="E1807" s="64">
        <f t="shared" si="142"/>
        <v>424.4997055358225</v>
      </c>
      <c r="F1807" s="62" t="str">
        <f t="shared" si="143"/>
        <v/>
      </c>
    </row>
    <row r="1808" spans="1:6">
      <c r="A1808" s="60">
        <v>180300</v>
      </c>
      <c r="B1808" s="60">
        <f t="shared" si="141"/>
        <v>4246175</v>
      </c>
      <c r="C1808" s="60">
        <f t="shared" si="144"/>
        <v>4246175</v>
      </c>
      <c r="D1808" s="61">
        <f t="shared" si="140"/>
        <v>1</v>
      </c>
      <c r="E1808" s="64">
        <f t="shared" si="142"/>
        <v>424.61747491124288</v>
      </c>
      <c r="F1808" s="62" t="str">
        <f t="shared" si="143"/>
        <v/>
      </c>
    </row>
    <row r="1809" spans="1:6">
      <c r="A1809" s="60">
        <v>180400</v>
      </c>
      <c r="B1809" s="60">
        <f t="shared" si="141"/>
        <v>4247352</v>
      </c>
      <c r="C1809" s="60">
        <f t="shared" si="144"/>
        <v>4247352</v>
      </c>
      <c r="D1809" s="61">
        <f t="shared" si="140"/>
        <v>1</v>
      </c>
      <c r="E1809" s="64">
        <f t="shared" si="142"/>
        <v>424.73521163190605</v>
      </c>
      <c r="F1809" s="62" t="str">
        <f t="shared" si="143"/>
        <v/>
      </c>
    </row>
    <row r="1810" spans="1:6">
      <c r="A1810" s="60">
        <v>180500</v>
      </c>
      <c r="B1810" s="60">
        <f t="shared" si="141"/>
        <v>4248529</v>
      </c>
      <c r="C1810" s="60">
        <f t="shared" si="144"/>
        <v>4248529</v>
      </c>
      <c r="D1810" s="61">
        <f t="shared" si="140"/>
        <v>1</v>
      </c>
      <c r="E1810" s="64">
        <f t="shared" si="142"/>
        <v>424.85291572496004</v>
      </c>
      <c r="F1810" s="62" t="str">
        <f t="shared" si="143"/>
        <v/>
      </c>
    </row>
    <row r="1811" spans="1:6">
      <c r="A1811" s="60">
        <v>180600</v>
      </c>
      <c r="B1811" s="60">
        <f t="shared" si="141"/>
        <v>4249706</v>
      </c>
      <c r="C1811" s="60">
        <f t="shared" si="144"/>
        <v>4249706</v>
      </c>
      <c r="D1811" s="61">
        <f t="shared" si="140"/>
        <v>1</v>
      </c>
      <c r="E1811" s="64">
        <f t="shared" si="142"/>
        <v>424.97058721751557</v>
      </c>
      <c r="F1811" s="62" t="str">
        <f t="shared" si="143"/>
        <v/>
      </c>
    </row>
    <row r="1812" spans="1:6">
      <c r="A1812" s="60">
        <v>180700</v>
      </c>
      <c r="B1812" s="60">
        <f t="shared" si="141"/>
        <v>4250882</v>
      </c>
      <c r="C1812" s="60">
        <f t="shared" si="144"/>
        <v>4250882</v>
      </c>
      <c r="D1812" s="61">
        <f t="shared" si="140"/>
        <v>1</v>
      </c>
      <c r="E1812" s="64">
        <f t="shared" si="142"/>
        <v>425.08822613664569</v>
      </c>
      <c r="F1812" s="62" t="str">
        <f t="shared" si="143"/>
        <v/>
      </c>
    </row>
    <row r="1813" spans="1:6">
      <c r="A1813" s="60">
        <v>180800</v>
      </c>
      <c r="B1813" s="60">
        <f t="shared" si="141"/>
        <v>4252058</v>
      </c>
      <c r="C1813" s="60">
        <f t="shared" si="144"/>
        <v>4252058</v>
      </c>
      <c r="D1813" s="61">
        <f t="shared" si="140"/>
        <v>1</v>
      </c>
      <c r="E1813" s="64">
        <f t="shared" si="142"/>
        <v>425.20583250938597</v>
      </c>
      <c r="F1813" s="62" t="str">
        <f t="shared" si="143"/>
        <v/>
      </c>
    </row>
    <row r="1814" spans="1:6">
      <c r="A1814" s="60">
        <v>180900</v>
      </c>
      <c r="B1814" s="60">
        <f t="shared" si="141"/>
        <v>4253234</v>
      </c>
      <c r="C1814" s="60">
        <f t="shared" si="144"/>
        <v>4253234</v>
      </c>
      <c r="D1814" s="61">
        <f t="shared" si="140"/>
        <v>1</v>
      </c>
      <c r="E1814" s="64">
        <f t="shared" si="142"/>
        <v>425.32340636273477</v>
      </c>
      <c r="F1814" s="62" t="str">
        <f t="shared" si="143"/>
        <v/>
      </c>
    </row>
    <row r="1815" spans="1:6">
      <c r="A1815" s="60">
        <v>181000</v>
      </c>
      <c r="B1815" s="60">
        <f t="shared" si="141"/>
        <v>4254409</v>
      </c>
      <c r="C1815" s="60">
        <f t="shared" si="144"/>
        <v>4254409</v>
      </c>
      <c r="D1815" s="61">
        <f t="shared" si="140"/>
        <v>1</v>
      </c>
      <c r="E1815" s="64">
        <f t="shared" si="142"/>
        <v>425.44094772365293</v>
      </c>
      <c r="F1815" s="62" t="str">
        <f t="shared" si="143"/>
        <v/>
      </c>
    </row>
    <row r="1816" spans="1:6">
      <c r="A1816" s="60">
        <v>181100</v>
      </c>
      <c r="B1816" s="60">
        <f t="shared" si="141"/>
        <v>4255585</v>
      </c>
      <c r="C1816" s="60">
        <f t="shared" si="144"/>
        <v>4255585</v>
      </c>
      <c r="D1816" s="61">
        <f t="shared" si="140"/>
        <v>1</v>
      </c>
      <c r="E1816" s="64">
        <f t="shared" si="142"/>
        <v>425.55845661906426</v>
      </c>
      <c r="F1816" s="62" t="str">
        <f t="shared" si="143"/>
        <v/>
      </c>
    </row>
    <row r="1817" spans="1:6">
      <c r="A1817" s="60">
        <v>181200</v>
      </c>
      <c r="B1817" s="60">
        <f t="shared" si="141"/>
        <v>4256759</v>
      </c>
      <c r="C1817" s="60">
        <f t="shared" si="144"/>
        <v>4256759</v>
      </c>
      <c r="D1817" s="61">
        <f t="shared" si="140"/>
        <v>1</v>
      </c>
      <c r="E1817" s="64">
        <f t="shared" si="142"/>
        <v>425.67593307585526</v>
      </c>
      <c r="F1817" s="62" t="str">
        <f t="shared" si="143"/>
        <v/>
      </c>
    </row>
    <row r="1818" spans="1:6">
      <c r="A1818" s="60">
        <v>181300</v>
      </c>
      <c r="B1818" s="60">
        <f t="shared" si="141"/>
        <v>4257934</v>
      </c>
      <c r="C1818" s="60">
        <f t="shared" si="144"/>
        <v>4257934</v>
      </c>
      <c r="D1818" s="61">
        <f t="shared" si="140"/>
        <v>1</v>
      </c>
      <c r="E1818" s="64">
        <f t="shared" si="142"/>
        <v>425.79337712087539</v>
      </c>
      <c r="F1818" s="62" t="str">
        <f t="shared" si="143"/>
        <v/>
      </c>
    </row>
    <row r="1819" spans="1:6">
      <c r="A1819" s="60">
        <v>181400</v>
      </c>
      <c r="B1819" s="60">
        <f t="shared" si="141"/>
        <v>4259108</v>
      </c>
      <c r="C1819" s="60">
        <f t="shared" si="144"/>
        <v>4259108</v>
      </c>
      <c r="D1819" s="61">
        <f t="shared" si="140"/>
        <v>1</v>
      </c>
      <c r="E1819" s="64">
        <f t="shared" si="142"/>
        <v>425.91078878093708</v>
      </c>
      <c r="F1819" s="62" t="str">
        <f t="shared" si="143"/>
        <v/>
      </c>
    </row>
    <row r="1820" spans="1:6">
      <c r="A1820" s="60">
        <v>181500</v>
      </c>
      <c r="B1820" s="60">
        <f t="shared" si="141"/>
        <v>4260282</v>
      </c>
      <c r="C1820" s="60">
        <f t="shared" si="144"/>
        <v>4260282</v>
      </c>
      <c r="D1820" s="61">
        <f t="shared" si="140"/>
        <v>1</v>
      </c>
      <c r="E1820" s="64">
        <f t="shared" si="142"/>
        <v>426.02816808281585</v>
      </c>
      <c r="F1820" s="62" t="str">
        <f t="shared" si="143"/>
        <v/>
      </c>
    </row>
    <row r="1821" spans="1:6">
      <c r="A1821" s="60">
        <v>181600</v>
      </c>
      <c r="B1821" s="60">
        <f t="shared" si="141"/>
        <v>4261455</v>
      </c>
      <c r="C1821" s="60">
        <f t="shared" si="144"/>
        <v>4261455</v>
      </c>
      <c r="D1821" s="61">
        <f t="shared" si="140"/>
        <v>1</v>
      </c>
      <c r="E1821" s="64">
        <f t="shared" si="142"/>
        <v>426.14551505325034</v>
      </c>
      <c r="F1821" s="62" t="str">
        <f t="shared" si="143"/>
        <v/>
      </c>
    </row>
    <row r="1822" spans="1:6">
      <c r="A1822" s="60">
        <v>181700</v>
      </c>
      <c r="B1822" s="60">
        <f t="shared" si="141"/>
        <v>4262628</v>
      </c>
      <c r="C1822" s="60">
        <f t="shared" si="144"/>
        <v>4262628</v>
      </c>
      <c r="D1822" s="61">
        <f t="shared" si="140"/>
        <v>1</v>
      </c>
      <c r="E1822" s="64">
        <f t="shared" si="142"/>
        <v>426.26282971894233</v>
      </c>
      <c r="F1822" s="62" t="str">
        <f t="shared" si="143"/>
        <v/>
      </c>
    </row>
    <row r="1823" spans="1:6">
      <c r="A1823" s="60">
        <v>181800</v>
      </c>
      <c r="B1823" s="60">
        <f t="shared" si="141"/>
        <v>4263801</v>
      </c>
      <c r="C1823" s="60">
        <f t="shared" si="144"/>
        <v>4263801</v>
      </c>
      <c r="D1823" s="61">
        <f t="shared" si="140"/>
        <v>1</v>
      </c>
      <c r="E1823" s="64">
        <f t="shared" si="142"/>
        <v>426.38011210655685</v>
      </c>
      <c r="F1823" s="62" t="str">
        <f t="shared" si="143"/>
        <v/>
      </c>
    </row>
    <row r="1824" spans="1:6">
      <c r="A1824" s="60">
        <v>181900</v>
      </c>
      <c r="B1824" s="60">
        <f t="shared" si="141"/>
        <v>4264974</v>
      </c>
      <c r="C1824" s="60">
        <f t="shared" si="144"/>
        <v>4264974</v>
      </c>
      <c r="D1824" s="61">
        <f t="shared" si="140"/>
        <v>1</v>
      </c>
      <c r="E1824" s="64">
        <f t="shared" si="142"/>
        <v>426.49736224272243</v>
      </c>
      <c r="F1824" s="62" t="str">
        <f t="shared" si="143"/>
        <v/>
      </c>
    </row>
    <row r="1825" spans="1:6">
      <c r="A1825" s="60">
        <v>182000</v>
      </c>
      <c r="B1825" s="60">
        <f t="shared" si="141"/>
        <v>4266146</v>
      </c>
      <c r="C1825" s="60">
        <f t="shared" si="144"/>
        <v>4266146</v>
      </c>
      <c r="D1825" s="61">
        <f t="shared" si="140"/>
        <v>1</v>
      </c>
      <c r="E1825" s="64">
        <f t="shared" si="142"/>
        <v>426.61458015403082</v>
      </c>
      <c r="F1825" s="62" t="str">
        <f t="shared" si="143"/>
        <v/>
      </c>
    </row>
    <row r="1826" spans="1:6">
      <c r="A1826" s="60">
        <v>182100</v>
      </c>
      <c r="B1826" s="60">
        <f t="shared" si="141"/>
        <v>4267318</v>
      </c>
      <c r="C1826" s="60">
        <f t="shared" si="144"/>
        <v>4267318</v>
      </c>
      <c r="D1826" s="61">
        <f t="shared" si="140"/>
        <v>1</v>
      </c>
      <c r="E1826" s="64">
        <f t="shared" si="142"/>
        <v>426.73176586703738</v>
      </c>
      <c r="F1826" s="62" t="str">
        <f t="shared" si="143"/>
        <v/>
      </c>
    </row>
    <row r="1827" spans="1:6">
      <c r="A1827" s="60">
        <v>182200</v>
      </c>
      <c r="B1827" s="60">
        <f t="shared" si="141"/>
        <v>4268489</v>
      </c>
      <c r="C1827" s="60">
        <f t="shared" si="144"/>
        <v>4268489</v>
      </c>
      <c r="D1827" s="61">
        <f t="shared" si="140"/>
        <v>1</v>
      </c>
      <c r="E1827" s="64">
        <f t="shared" si="142"/>
        <v>426.84891940826088</v>
      </c>
      <c r="F1827" s="62" t="str">
        <f t="shared" si="143"/>
        <v/>
      </c>
    </row>
    <row r="1828" spans="1:6">
      <c r="A1828" s="60">
        <v>182300</v>
      </c>
      <c r="B1828" s="60">
        <f t="shared" si="141"/>
        <v>4269660</v>
      </c>
      <c r="C1828" s="60">
        <f t="shared" si="144"/>
        <v>4269660</v>
      </c>
      <c r="D1828" s="61">
        <f t="shared" si="140"/>
        <v>1</v>
      </c>
      <c r="E1828" s="64">
        <f t="shared" si="142"/>
        <v>426.96604080418388</v>
      </c>
      <c r="F1828" s="62" t="str">
        <f t="shared" si="143"/>
        <v/>
      </c>
    </row>
    <row r="1829" spans="1:6">
      <c r="A1829" s="60">
        <v>182400</v>
      </c>
      <c r="B1829" s="60">
        <f t="shared" si="141"/>
        <v>4270831</v>
      </c>
      <c r="C1829" s="60">
        <f t="shared" si="144"/>
        <v>4270831</v>
      </c>
      <c r="D1829" s="61">
        <f t="shared" si="140"/>
        <v>1</v>
      </c>
      <c r="E1829" s="64">
        <f t="shared" si="142"/>
        <v>427.08313008125242</v>
      </c>
      <c r="F1829" s="62" t="str">
        <f t="shared" si="143"/>
        <v/>
      </c>
    </row>
    <row r="1830" spans="1:6">
      <c r="A1830" s="60">
        <v>182500</v>
      </c>
      <c r="B1830" s="60">
        <f t="shared" si="141"/>
        <v>4272002</v>
      </c>
      <c r="C1830" s="60">
        <f t="shared" si="144"/>
        <v>4272002</v>
      </c>
      <c r="D1830" s="61">
        <f t="shared" si="140"/>
        <v>1</v>
      </c>
      <c r="E1830" s="64">
        <f t="shared" si="142"/>
        <v>427.20018726587654</v>
      </c>
      <c r="F1830" s="62" t="str">
        <f t="shared" si="143"/>
        <v/>
      </c>
    </row>
    <row r="1831" spans="1:6">
      <c r="A1831" s="60">
        <v>182600</v>
      </c>
      <c r="B1831" s="60">
        <f t="shared" si="141"/>
        <v>4273172</v>
      </c>
      <c r="C1831" s="60">
        <f t="shared" si="144"/>
        <v>4273172</v>
      </c>
      <c r="D1831" s="61">
        <f t="shared" si="140"/>
        <v>1</v>
      </c>
      <c r="E1831" s="64">
        <f t="shared" si="142"/>
        <v>427.31721238442992</v>
      </c>
      <c r="F1831" s="62" t="str">
        <f t="shared" si="143"/>
        <v/>
      </c>
    </row>
    <row r="1832" spans="1:6">
      <c r="A1832" s="60">
        <v>182700</v>
      </c>
      <c r="B1832" s="60">
        <f t="shared" si="141"/>
        <v>4274342</v>
      </c>
      <c r="C1832" s="60">
        <f t="shared" si="144"/>
        <v>4274342</v>
      </c>
      <c r="D1832" s="61">
        <f t="shared" si="140"/>
        <v>1</v>
      </c>
      <c r="E1832" s="64">
        <f t="shared" si="142"/>
        <v>427.43420546325024</v>
      </c>
      <c r="F1832" s="62" t="str">
        <f t="shared" si="143"/>
        <v/>
      </c>
    </row>
    <row r="1833" spans="1:6">
      <c r="A1833" s="60">
        <v>182800</v>
      </c>
      <c r="B1833" s="60">
        <f t="shared" si="141"/>
        <v>4275512</v>
      </c>
      <c r="C1833" s="60">
        <f t="shared" si="144"/>
        <v>4275512</v>
      </c>
      <c r="D1833" s="61">
        <f t="shared" si="140"/>
        <v>1</v>
      </c>
      <c r="E1833" s="64">
        <f t="shared" si="142"/>
        <v>427.55116652863899</v>
      </c>
      <c r="F1833" s="62" t="str">
        <f t="shared" si="143"/>
        <v/>
      </c>
    </row>
    <row r="1834" spans="1:6">
      <c r="A1834" s="60">
        <v>182900</v>
      </c>
      <c r="B1834" s="60">
        <f t="shared" si="141"/>
        <v>4276681</v>
      </c>
      <c r="C1834" s="60">
        <f t="shared" si="144"/>
        <v>4276681</v>
      </c>
      <c r="D1834" s="61">
        <f t="shared" si="140"/>
        <v>1</v>
      </c>
      <c r="E1834" s="64">
        <f t="shared" si="142"/>
        <v>427.66809560686193</v>
      </c>
      <c r="F1834" s="62" t="str">
        <f t="shared" si="143"/>
        <v/>
      </c>
    </row>
    <row r="1835" spans="1:6">
      <c r="A1835" s="60">
        <v>183000</v>
      </c>
      <c r="B1835" s="60">
        <f t="shared" si="141"/>
        <v>4277850</v>
      </c>
      <c r="C1835" s="60">
        <f t="shared" si="144"/>
        <v>4277850</v>
      </c>
      <c r="D1835" s="61">
        <f t="shared" si="140"/>
        <v>1</v>
      </c>
      <c r="E1835" s="64">
        <f t="shared" si="142"/>
        <v>427.78499272414876</v>
      </c>
      <c r="F1835" s="62" t="str">
        <f t="shared" si="143"/>
        <v/>
      </c>
    </row>
    <row r="1836" spans="1:6">
      <c r="A1836" s="60">
        <v>183100</v>
      </c>
      <c r="B1836" s="60">
        <f t="shared" si="141"/>
        <v>4279019</v>
      </c>
      <c r="C1836" s="60">
        <f t="shared" si="144"/>
        <v>4279019</v>
      </c>
      <c r="D1836" s="61">
        <f t="shared" si="140"/>
        <v>1</v>
      </c>
      <c r="E1836" s="64">
        <f t="shared" si="142"/>
        <v>427.90185790669335</v>
      </c>
      <c r="F1836" s="62" t="str">
        <f t="shared" si="143"/>
        <v/>
      </c>
    </row>
    <row r="1837" spans="1:6">
      <c r="A1837" s="60">
        <v>183200</v>
      </c>
      <c r="B1837" s="60">
        <f t="shared" si="141"/>
        <v>4280187</v>
      </c>
      <c r="C1837" s="60">
        <f t="shared" si="144"/>
        <v>4280187</v>
      </c>
      <c r="D1837" s="61">
        <f t="shared" si="140"/>
        <v>1</v>
      </c>
      <c r="E1837" s="64">
        <f t="shared" si="142"/>
        <v>428.01869118065395</v>
      </c>
      <c r="F1837" s="62" t="str">
        <f t="shared" si="143"/>
        <v/>
      </c>
    </row>
    <row r="1838" spans="1:6">
      <c r="A1838" s="60">
        <v>183300</v>
      </c>
      <c r="B1838" s="60">
        <f t="shared" si="141"/>
        <v>4281355</v>
      </c>
      <c r="C1838" s="60">
        <f t="shared" si="144"/>
        <v>4281355</v>
      </c>
      <c r="D1838" s="61">
        <f t="shared" si="140"/>
        <v>1</v>
      </c>
      <c r="E1838" s="64">
        <f t="shared" si="142"/>
        <v>428.13549257215288</v>
      </c>
      <c r="F1838" s="62" t="str">
        <f t="shared" si="143"/>
        <v/>
      </c>
    </row>
    <row r="1839" spans="1:6">
      <c r="A1839" s="60">
        <v>183400</v>
      </c>
      <c r="B1839" s="60">
        <f t="shared" si="141"/>
        <v>4282523</v>
      </c>
      <c r="C1839" s="60">
        <f t="shared" si="144"/>
        <v>4282523</v>
      </c>
      <c r="D1839" s="61">
        <f t="shared" si="140"/>
        <v>1</v>
      </c>
      <c r="E1839" s="64">
        <f t="shared" si="142"/>
        <v>428.25226210727715</v>
      </c>
      <c r="F1839" s="62" t="str">
        <f t="shared" si="143"/>
        <v/>
      </c>
    </row>
    <row r="1840" spans="1:6">
      <c r="A1840" s="60">
        <v>183500</v>
      </c>
      <c r="B1840" s="60">
        <f t="shared" si="141"/>
        <v>4283690</v>
      </c>
      <c r="C1840" s="60">
        <f t="shared" si="144"/>
        <v>4283690</v>
      </c>
      <c r="D1840" s="61">
        <f t="shared" si="140"/>
        <v>1</v>
      </c>
      <c r="E1840" s="64">
        <f t="shared" si="142"/>
        <v>428.3689998120779</v>
      </c>
      <c r="F1840" s="62" t="str">
        <f t="shared" si="143"/>
        <v/>
      </c>
    </row>
    <row r="1841" spans="1:6">
      <c r="A1841" s="60">
        <v>183600</v>
      </c>
      <c r="B1841" s="60">
        <f t="shared" si="141"/>
        <v>4284857</v>
      </c>
      <c r="C1841" s="60">
        <f t="shared" si="144"/>
        <v>4284857</v>
      </c>
      <c r="D1841" s="61">
        <f t="shared" si="140"/>
        <v>1</v>
      </c>
      <c r="E1841" s="64">
        <f t="shared" si="142"/>
        <v>428.48570571257102</v>
      </c>
      <c r="F1841" s="62" t="str">
        <f t="shared" si="143"/>
        <v/>
      </c>
    </row>
    <row r="1842" spans="1:6">
      <c r="A1842" s="60">
        <v>183700</v>
      </c>
      <c r="B1842" s="60">
        <f t="shared" si="141"/>
        <v>4286024</v>
      </c>
      <c r="C1842" s="60">
        <f t="shared" si="144"/>
        <v>4286024</v>
      </c>
      <c r="D1842" s="61">
        <f t="shared" si="140"/>
        <v>1</v>
      </c>
      <c r="E1842" s="64">
        <f t="shared" si="142"/>
        <v>428.60237983473678</v>
      </c>
      <c r="F1842" s="62" t="str">
        <f t="shared" si="143"/>
        <v/>
      </c>
    </row>
    <row r="1843" spans="1:6">
      <c r="A1843" s="60">
        <v>183800</v>
      </c>
      <c r="B1843" s="60">
        <f t="shared" si="141"/>
        <v>4287190</v>
      </c>
      <c r="C1843" s="60">
        <f t="shared" si="144"/>
        <v>4287190</v>
      </c>
      <c r="D1843" s="61">
        <f t="shared" si="140"/>
        <v>1</v>
      </c>
      <c r="E1843" s="64">
        <f t="shared" si="142"/>
        <v>428.71902220452034</v>
      </c>
      <c r="F1843" s="62" t="str">
        <f t="shared" si="143"/>
        <v/>
      </c>
    </row>
    <row r="1844" spans="1:6">
      <c r="A1844" s="60">
        <v>183900</v>
      </c>
      <c r="B1844" s="60">
        <f t="shared" si="141"/>
        <v>4288356</v>
      </c>
      <c r="C1844" s="60">
        <f t="shared" si="144"/>
        <v>4288356</v>
      </c>
      <c r="D1844" s="61">
        <f t="shared" si="140"/>
        <v>1</v>
      </c>
      <c r="E1844" s="64">
        <f t="shared" si="142"/>
        <v>428.83563284783133</v>
      </c>
      <c r="F1844" s="62" t="str">
        <f t="shared" si="143"/>
        <v/>
      </c>
    </row>
    <row r="1845" spans="1:6">
      <c r="A1845" s="60">
        <v>184000</v>
      </c>
      <c r="B1845" s="60">
        <f t="shared" si="141"/>
        <v>4289522</v>
      </c>
      <c r="C1845" s="60">
        <f t="shared" si="144"/>
        <v>4289522</v>
      </c>
      <c r="D1845" s="61">
        <f t="shared" si="140"/>
        <v>1</v>
      </c>
      <c r="E1845" s="64">
        <f t="shared" si="142"/>
        <v>428.95221179054431</v>
      </c>
      <c r="F1845" s="62" t="str">
        <f t="shared" si="143"/>
        <v/>
      </c>
    </row>
    <row r="1846" spans="1:6">
      <c r="A1846" s="60">
        <v>184100</v>
      </c>
      <c r="B1846" s="60">
        <f t="shared" si="141"/>
        <v>4290688</v>
      </c>
      <c r="C1846" s="60">
        <f t="shared" si="144"/>
        <v>4290688</v>
      </c>
      <c r="D1846" s="61">
        <f t="shared" si="140"/>
        <v>1</v>
      </c>
      <c r="E1846" s="64">
        <f t="shared" si="142"/>
        <v>429.0687590584987</v>
      </c>
      <c r="F1846" s="62" t="str">
        <f t="shared" si="143"/>
        <v/>
      </c>
    </row>
    <row r="1847" spans="1:6">
      <c r="A1847" s="60">
        <v>184200</v>
      </c>
      <c r="B1847" s="60">
        <f t="shared" si="141"/>
        <v>4291853</v>
      </c>
      <c r="C1847" s="60">
        <f t="shared" si="144"/>
        <v>4291853</v>
      </c>
      <c r="D1847" s="61">
        <f t="shared" si="140"/>
        <v>1</v>
      </c>
      <c r="E1847" s="64">
        <f t="shared" si="142"/>
        <v>429.18527467749868</v>
      </c>
      <c r="F1847" s="62" t="str">
        <f t="shared" si="143"/>
        <v/>
      </c>
    </row>
    <row r="1848" spans="1:6">
      <c r="A1848" s="60">
        <v>184300</v>
      </c>
      <c r="B1848" s="60">
        <f t="shared" si="141"/>
        <v>4293018</v>
      </c>
      <c r="C1848" s="60">
        <f t="shared" si="144"/>
        <v>4293018</v>
      </c>
      <c r="D1848" s="61">
        <f t="shared" si="140"/>
        <v>1</v>
      </c>
      <c r="E1848" s="64">
        <f t="shared" si="142"/>
        <v>429.3017586733136</v>
      </c>
      <c r="F1848" s="62" t="str">
        <f t="shared" si="143"/>
        <v/>
      </c>
    </row>
    <row r="1849" spans="1:6">
      <c r="A1849" s="60">
        <v>184400</v>
      </c>
      <c r="B1849" s="60">
        <f t="shared" si="141"/>
        <v>4294182</v>
      </c>
      <c r="C1849" s="60">
        <f t="shared" si="144"/>
        <v>4294182</v>
      </c>
      <c r="D1849" s="61">
        <f t="shared" si="140"/>
        <v>1</v>
      </c>
      <c r="E1849" s="64">
        <f t="shared" si="142"/>
        <v>429.41821107167777</v>
      </c>
      <c r="F1849" s="62" t="str">
        <f t="shared" si="143"/>
        <v/>
      </c>
    </row>
    <row r="1850" spans="1:6">
      <c r="A1850" s="60">
        <v>184500</v>
      </c>
      <c r="B1850" s="60">
        <f t="shared" si="141"/>
        <v>4295346</v>
      </c>
      <c r="C1850" s="60">
        <f t="shared" si="144"/>
        <v>4295346</v>
      </c>
      <c r="D1850" s="61">
        <f t="shared" si="140"/>
        <v>1</v>
      </c>
      <c r="E1850" s="64">
        <f t="shared" si="142"/>
        <v>429.53463189829057</v>
      </c>
      <c r="F1850" s="62" t="str">
        <f t="shared" si="143"/>
        <v/>
      </c>
    </row>
    <row r="1851" spans="1:6">
      <c r="A1851" s="60">
        <v>184600</v>
      </c>
      <c r="B1851" s="60">
        <f t="shared" si="141"/>
        <v>4296510</v>
      </c>
      <c r="C1851" s="60">
        <f t="shared" si="144"/>
        <v>4296510</v>
      </c>
      <c r="D1851" s="61">
        <f t="shared" si="140"/>
        <v>1</v>
      </c>
      <c r="E1851" s="64">
        <f t="shared" si="142"/>
        <v>429.65102117881668</v>
      </c>
      <c r="F1851" s="62" t="str">
        <f t="shared" si="143"/>
        <v/>
      </c>
    </row>
    <row r="1852" spans="1:6">
      <c r="A1852" s="60">
        <v>184700</v>
      </c>
      <c r="B1852" s="60">
        <f t="shared" si="141"/>
        <v>4297674</v>
      </c>
      <c r="C1852" s="60">
        <f t="shared" si="144"/>
        <v>4297674</v>
      </c>
      <c r="D1852" s="61">
        <f t="shared" si="140"/>
        <v>1</v>
      </c>
      <c r="E1852" s="64">
        <f t="shared" si="142"/>
        <v>429.76737893888594</v>
      </c>
      <c r="F1852" s="62" t="str">
        <f t="shared" si="143"/>
        <v/>
      </c>
    </row>
    <row r="1853" spans="1:6">
      <c r="A1853" s="60">
        <v>184800</v>
      </c>
      <c r="B1853" s="60">
        <f t="shared" si="141"/>
        <v>4298837</v>
      </c>
      <c r="C1853" s="60">
        <f t="shared" si="144"/>
        <v>4298837</v>
      </c>
      <c r="D1853" s="61">
        <f t="shared" si="140"/>
        <v>1</v>
      </c>
      <c r="E1853" s="64">
        <f t="shared" si="142"/>
        <v>429.88370520409353</v>
      </c>
      <c r="F1853" s="62" t="str">
        <f t="shared" si="143"/>
        <v/>
      </c>
    </row>
    <row r="1854" spans="1:6">
      <c r="A1854" s="60">
        <v>184900</v>
      </c>
      <c r="B1854" s="60">
        <f t="shared" si="141"/>
        <v>4300000</v>
      </c>
      <c r="C1854" s="60">
        <f t="shared" si="144"/>
        <v>4300000</v>
      </c>
      <c r="D1854" s="61">
        <f t="shared" si="140"/>
        <v>1</v>
      </c>
      <c r="E1854" s="64">
        <f t="shared" si="142"/>
        <v>430</v>
      </c>
      <c r="F1854" s="62" t="str">
        <f t="shared" si="143"/>
        <v/>
      </c>
    </row>
    <row r="1855" spans="1:6">
      <c r="A1855" s="60">
        <v>185000</v>
      </c>
      <c r="B1855" s="60">
        <f t="shared" si="141"/>
        <v>4301163</v>
      </c>
      <c r="C1855" s="60">
        <f t="shared" si="144"/>
        <v>4301163</v>
      </c>
      <c r="D1855" s="61">
        <f t="shared" si="140"/>
        <v>1</v>
      </c>
      <c r="E1855" s="64">
        <f t="shared" si="142"/>
        <v>430.11626335213134</v>
      </c>
      <c r="F1855" s="62" t="str">
        <f t="shared" si="143"/>
        <v/>
      </c>
    </row>
    <row r="1856" spans="1:6">
      <c r="A1856" s="60">
        <v>185100</v>
      </c>
      <c r="B1856" s="60">
        <f t="shared" si="141"/>
        <v>4302325</v>
      </c>
      <c r="C1856" s="60">
        <f t="shared" si="144"/>
        <v>4302325</v>
      </c>
      <c r="D1856" s="61">
        <f t="shared" si="140"/>
        <v>1</v>
      </c>
      <c r="E1856" s="64">
        <f t="shared" si="142"/>
        <v>430.23249528597904</v>
      </c>
      <c r="F1856" s="62" t="str">
        <f t="shared" si="143"/>
        <v/>
      </c>
    </row>
    <row r="1857" spans="1:6">
      <c r="A1857" s="60">
        <v>185200</v>
      </c>
      <c r="B1857" s="60">
        <f t="shared" si="141"/>
        <v>4303487</v>
      </c>
      <c r="C1857" s="60">
        <f t="shared" si="144"/>
        <v>4303487</v>
      </c>
      <c r="D1857" s="61">
        <f t="shared" si="140"/>
        <v>1</v>
      </c>
      <c r="E1857" s="64">
        <f t="shared" si="142"/>
        <v>430.34869582700026</v>
      </c>
      <c r="F1857" s="62" t="str">
        <f t="shared" si="143"/>
        <v/>
      </c>
    </row>
    <row r="1858" spans="1:6">
      <c r="A1858" s="60">
        <v>185300</v>
      </c>
      <c r="B1858" s="60">
        <f t="shared" si="141"/>
        <v>4304649</v>
      </c>
      <c r="C1858" s="60">
        <f t="shared" si="144"/>
        <v>4304649</v>
      </c>
      <c r="D1858" s="61">
        <f t="shared" si="140"/>
        <v>1</v>
      </c>
      <c r="E1858" s="64">
        <f t="shared" si="142"/>
        <v>430.46486500061769</v>
      </c>
      <c r="F1858" s="62" t="str">
        <f t="shared" si="143"/>
        <v/>
      </c>
    </row>
    <row r="1859" spans="1:6">
      <c r="A1859" s="60">
        <v>185400</v>
      </c>
      <c r="B1859" s="60">
        <f t="shared" si="141"/>
        <v>4305810</v>
      </c>
      <c r="C1859" s="60">
        <f t="shared" si="144"/>
        <v>4305810</v>
      </c>
      <c r="D1859" s="61">
        <f t="shared" si="140"/>
        <v>1</v>
      </c>
      <c r="E1859" s="64">
        <f t="shared" si="142"/>
        <v>430.58100283221972</v>
      </c>
      <c r="F1859" s="62" t="str">
        <f t="shared" si="143"/>
        <v/>
      </c>
    </row>
    <row r="1860" spans="1:6">
      <c r="A1860" s="60">
        <v>185500</v>
      </c>
      <c r="B1860" s="60">
        <f t="shared" si="141"/>
        <v>4306971</v>
      </c>
      <c r="C1860" s="60">
        <f t="shared" si="144"/>
        <v>4306971</v>
      </c>
      <c r="D1860" s="61">
        <f t="shared" si="140"/>
        <v>1</v>
      </c>
      <c r="E1860" s="64">
        <f t="shared" si="142"/>
        <v>430.69710934716056</v>
      </c>
      <c r="F1860" s="62" t="str">
        <f t="shared" si="143"/>
        <v/>
      </c>
    </row>
    <row r="1861" spans="1:6">
      <c r="A1861" s="60">
        <v>185600</v>
      </c>
      <c r="B1861" s="60">
        <f t="shared" si="141"/>
        <v>4308132</v>
      </c>
      <c r="C1861" s="60">
        <f t="shared" si="144"/>
        <v>4308132</v>
      </c>
      <c r="D1861" s="61">
        <f t="shared" ref="D1861:D1924" si="145">(A1861-INDEX(兵力区间,MATCH(A1861,兵力区间,1)))/(INDEX(兵力区间,MATCH(A1861,兵力区间,1)+1)-INDEX(兵力区间,MATCH(A1861,兵力区间,1)))*((INDEX(兵力调节,MATCH(A1861,兵力区间,1)+1,2)-INDEX(兵力调节,MATCH(A1861,兵力区间,1),2)))+INDEX(兵力调节,MATCH(A1861,兵力区间,1),2)</f>
        <v>1</v>
      </c>
      <c r="E1861" s="64">
        <f t="shared" si="142"/>
        <v>430.81318457076031</v>
      </c>
      <c r="F1861" s="62" t="str">
        <f t="shared" si="143"/>
        <v/>
      </c>
    </row>
    <row r="1862" spans="1:6">
      <c r="A1862" s="60">
        <v>185700</v>
      </c>
      <c r="B1862" s="60">
        <f t="shared" si="141"/>
        <v>4309292</v>
      </c>
      <c r="C1862" s="60">
        <f t="shared" si="144"/>
        <v>4309292</v>
      </c>
      <c r="D1862" s="61">
        <f t="shared" si="145"/>
        <v>1</v>
      </c>
      <c r="E1862" s="64">
        <f t="shared" si="142"/>
        <v>430.92922852830486</v>
      </c>
      <c r="F1862" s="62" t="str">
        <f t="shared" si="143"/>
        <v/>
      </c>
    </row>
    <row r="1863" spans="1:6">
      <c r="A1863" s="60">
        <v>185800</v>
      </c>
      <c r="B1863" s="60">
        <f t="shared" ref="B1863:B1926" si="146">ROUND(D1863*E1863*10000,0)</f>
        <v>4310452</v>
      </c>
      <c r="C1863" s="60">
        <f t="shared" si="144"/>
        <v>4310452</v>
      </c>
      <c r="D1863" s="61">
        <f t="shared" si="145"/>
        <v>1</v>
      </c>
      <c r="E1863" s="64">
        <f t="shared" ref="E1863:E1926" si="147">A1863^0.5</f>
        <v>431.0452412450461</v>
      </c>
      <c r="F1863" s="62" t="str">
        <f t="shared" si="143"/>
        <v/>
      </c>
    </row>
    <row r="1864" spans="1:6">
      <c r="A1864" s="60">
        <v>185900</v>
      </c>
      <c r="B1864" s="60">
        <f t="shared" si="146"/>
        <v>4311612</v>
      </c>
      <c r="C1864" s="60">
        <f t="shared" si="144"/>
        <v>4311612</v>
      </c>
      <c r="D1864" s="61">
        <f t="shared" si="145"/>
        <v>1</v>
      </c>
      <c r="E1864" s="64">
        <f t="shared" si="147"/>
        <v>431.16122274620199</v>
      </c>
      <c r="F1864" s="62" t="str">
        <f t="shared" ref="F1864:F1927" si="148">IF(B1864&lt;B1863,1,"")</f>
        <v/>
      </c>
    </row>
    <row r="1865" spans="1:6">
      <c r="A1865" s="60">
        <v>186000</v>
      </c>
      <c r="B1865" s="60">
        <f t="shared" si="146"/>
        <v>4312772</v>
      </c>
      <c r="C1865" s="60">
        <f t="shared" si="144"/>
        <v>4312772</v>
      </c>
      <c r="D1865" s="61">
        <f t="shared" si="145"/>
        <v>1</v>
      </c>
      <c r="E1865" s="64">
        <f t="shared" si="147"/>
        <v>431.27717305695649</v>
      </c>
      <c r="F1865" s="62" t="str">
        <f t="shared" si="148"/>
        <v/>
      </c>
    </row>
    <row r="1866" spans="1:6">
      <c r="A1866" s="60">
        <v>186100</v>
      </c>
      <c r="B1866" s="60">
        <f t="shared" si="146"/>
        <v>4313931</v>
      </c>
      <c r="C1866" s="60">
        <f t="shared" si="144"/>
        <v>4313931</v>
      </c>
      <c r="D1866" s="61">
        <f t="shared" si="145"/>
        <v>1</v>
      </c>
      <c r="E1866" s="64">
        <f t="shared" si="147"/>
        <v>431.3930922024598</v>
      </c>
      <c r="F1866" s="62" t="str">
        <f t="shared" si="148"/>
        <v/>
      </c>
    </row>
    <row r="1867" spans="1:6">
      <c r="A1867" s="60">
        <v>186200</v>
      </c>
      <c r="B1867" s="60">
        <f t="shared" si="146"/>
        <v>4315090</v>
      </c>
      <c r="C1867" s="60">
        <f t="shared" ref="C1867:C1930" si="149">ROUND(D1867*E1867*10000,0)</f>
        <v>4315090</v>
      </c>
      <c r="D1867" s="61">
        <f t="shared" si="145"/>
        <v>1</v>
      </c>
      <c r="E1867" s="64">
        <f t="shared" si="147"/>
        <v>431.50898020782836</v>
      </c>
      <c r="F1867" s="62" t="str">
        <f t="shared" si="148"/>
        <v/>
      </c>
    </row>
    <row r="1868" spans="1:6">
      <c r="A1868" s="60">
        <v>186300</v>
      </c>
      <c r="B1868" s="60">
        <f t="shared" si="146"/>
        <v>4316248</v>
      </c>
      <c r="C1868" s="60">
        <f t="shared" si="149"/>
        <v>4316248</v>
      </c>
      <c r="D1868" s="61">
        <f t="shared" si="145"/>
        <v>1</v>
      </c>
      <c r="E1868" s="64">
        <f t="shared" si="147"/>
        <v>431.62483709814478</v>
      </c>
      <c r="F1868" s="62" t="str">
        <f t="shared" si="148"/>
        <v/>
      </c>
    </row>
    <row r="1869" spans="1:6">
      <c r="A1869" s="60">
        <v>186400</v>
      </c>
      <c r="B1869" s="60">
        <f t="shared" si="146"/>
        <v>4317407</v>
      </c>
      <c r="C1869" s="60">
        <f t="shared" si="149"/>
        <v>4317407</v>
      </c>
      <c r="D1869" s="61">
        <f t="shared" si="145"/>
        <v>1</v>
      </c>
      <c r="E1869" s="64">
        <f t="shared" si="147"/>
        <v>431.74066289845808</v>
      </c>
      <c r="F1869" s="62" t="str">
        <f t="shared" si="148"/>
        <v/>
      </c>
    </row>
    <row r="1870" spans="1:6">
      <c r="A1870" s="60">
        <v>186500</v>
      </c>
      <c r="B1870" s="60">
        <f t="shared" si="146"/>
        <v>4318565</v>
      </c>
      <c r="C1870" s="60">
        <f t="shared" si="149"/>
        <v>4318565</v>
      </c>
      <c r="D1870" s="61">
        <f t="shared" si="145"/>
        <v>1</v>
      </c>
      <c r="E1870" s="64">
        <f t="shared" si="147"/>
        <v>431.85645763378369</v>
      </c>
      <c r="F1870" s="62" t="str">
        <f t="shared" si="148"/>
        <v/>
      </c>
    </row>
    <row r="1871" spans="1:6">
      <c r="A1871" s="60">
        <v>186600</v>
      </c>
      <c r="B1871" s="60">
        <f t="shared" si="146"/>
        <v>4319722</v>
      </c>
      <c r="C1871" s="60">
        <f t="shared" si="149"/>
        <v>4319722</v>
      </c>
      <c r="D1871" s="61">
        <f t="shared" si="145"/>
        <v>1</v>
      </c>
      <c r="E1871" s="64">
        <f t="shared" si="147"/>
        <v>431.97222132910355</v>
      </c>
      <c r="F1871" s="62" t="str">
        <f t="shared" si="148"/>
        <v/>
      </c>
    </row>
    <row r="1872" spans="1:6">
      <c r="A1872" s="60">
        <v>186700</v>
      </c>
      <c r="B1872" s="60">
        <f t="shared" si="146"/>
        <v>4320880</v>
      </c>
      <c r="C1872" s="60">
        <f t="shared" si="149"/>
        <v>4320880</v>
      </c>
      <c r="D1872" s="61">
        <f t="shared" si="145"/>
        <v>1</v>
      </c>
      <c r="E1872" s="64">
        <f t="shared" si="147"/>
        <v>432.087954009366</v>
      </c>
      <c r="F1872" s="62" t="str">
        <f t="shared" si="148"/>
        <v/>
      </c>
    </row>
    <row r="1873" spans="1:6">
      <c r="A1873" s="60">
        <v>186800</v>
      </c>
      <c r="B1873" s="60">
        <f t="shared" si="146"/>
        <v>4322037</v>
      </c>
      <c r="C1873" s="60">
        <f t="shared" si="149"/>
        <v>4322037</v>
      </c>
      <c r="D1873" s="61">
        <f t="shared" si="145"/>
        <v>1</v>
      </c>
      <c r="E1873" s="64">
        <f t="shared" si="147"/>
        <v>432.20365569948621</v>
      </c>
      <c r="F1873" s="62" t="str">
        <f t="shared" si="148"/>
        <v/>
      </c>
    </row>
    <row r="1874" spans="1:6">
      <c r="A1874" s="60">
        <v>186900</v>
      </c>
      <c r="B1874" s="60">
        <f t="shared" si="146"/>
        <v>4323193</v>
      </c>
      <c r="C1874" s="60">
        <f t="shared" si="149"/>
        <v>4323193</v>
      </c>
      <c r="D1874" s="61">
        <f t="shared" si="145"/>
        <v>1</v>
      </c>
      <c r="E1874" s="64">
        <f t="shared" si="147"/>
        <v>432.31932642434572</v>
      </c>
      <c r="F1874" s="62" t="str">
        <f t="shared" si="148"/>
        <v/>
      </c>
    </row>
    <row r="1875" spans="1:6">
      <c r="A1875" s="60">
        <v>187000</v>
      </c>
      <c r="B1875" s="60">
        <f t="shared" si="146"/>
        <v>4324350</v>
      </c>
      <c r="C1875" s="60">
        <f t="shared" si="149"/>
        <v>4324350</v>
      </c>
      <c r="D1875" s="61">
        <f t="shared" si="145"/>
        <v>1</v>
      </c>
      <c r="E1875" s="64">
        <f t="shared" si="147"/>
        <v>432.43496620879307</v>
      </c>
      <c r="F1875" s="62" t="str">
        <f t="shared" si="148"/>
        <v/>
      </c>
    </row>
    <row r="1876" spans="1:6">
      <c r="A1876" s="60">
        <v>187100</v>
      </c>
      <c r="B1876" s="60">
        <f t="shared" si="146"/>
        <v>4325506</v>
      </c>
      <c r="C1876" s="60">
        <f t="shared" si="149"/>
        <v>4325506</v>
      </c>
      <c r="D1876" s="61">
        <f t="shared" si="145"/>
        <v>1</v>
      </c>
      <c r="E1876" s="64">
        <f t="shared" si="147"/>
        <v>432.55057507764337</v>
      </c>
      <c r="F1876" s="62" t="str">
        <f t="shared" si="148"/>
        <v/>
      </c>
    </row>
    <row r="1877" spans="1:6">
      <c r="A1877" s="60">
        <v>187200</v>
      </c>
      <c r="B1877" s="60">
        <f t="shared" si="146"/>
        <v>4326662</v>
      </c>
      <c r="C1877" s="60">
        <f t="shared" si="149"/>
        <v>4326662</v>
      </c>
      <c r="D1877" s="61">
        <f t="shared" si="145"/>
        <v>1</v>
      </c>
      <c r="E1877" s="64">
        <f t="shared" si="147"/>
        <v>432.66615305567871</v>
      </c>
      <c r="F1877" s="62" t="str">
        <f t="shared" si="148"/>
        <v/>
      </c>
    </row>
    <row r="1878" spans="1:6">
      <c r="A1878" s="60">
        <v>187300</v>
      </c>
      <c r="B1878" s="60">
        <f t="shared" si="146"/>
        <v>4327817</v>
      </c>
      <c r="C1878" s="60">
        <f t="shared" si="149"/>
        <v>4327817</v>
      </c>
      <c r="D1878" s="61">
        <f t="shared" si="145"/>
        <v>1</v>
      </c>
      <c r="E1878" s="64">
        <f t="shared" si="147"/>
        <v>432.78170016764801</v>
      </c>
      <c r="F1878" s="62" t="str">
        <f t="shared" si="148"/>
        <v/>
      </c>
    </row>
    <row r="1879" spans="1:6">
      <c r="A1879" s="60">
        <v>187400</v>
      </c>
      <c r="B1879" s="60">
        <f t="shared" si="146"/>
        <v>4328972</v>
      </c>
      <c r="C1879" s="60">
        <f t="shared" si="149"/>
        <v>4328972</v>
      </c>
      <c r="D1879" s="61">
        <f t="shared" si="145"/>
        <v>1</v>
      </c>
      <c r="E1879" s="64">
        <f t="shared" si="147"/>
        <v>432.89721643826726</v>
      </c>
      <c r="F1879" s="62" t="str">
        <f t="shared" si="148"/>
        <v/>
      </c>
    </row>
    <row r="1880" spans="1:6">
      <c r="A1880" s="60">
        <v>187500</v>
      </c>
      <c r="B1880" s="60">
        <f t="shared" si="146"/>
        <v>4330127</v>
      </c>
      <c r="C1880" s="60">
        <f t="shared" si="149"/>
        <v>4330127</v>
      </c>
      <c r="D1880" s="61">
        <f t="shared" si="145"/>
        <v>1</v>
      </c>
      <c r="E1880" s="64">
        <f t="shared" si="147"/>
        <v>433.0127018922193</v>
      </c>
      <c r="F1880" s="62" t="str">
        <f t="shared" si="148"/>
        <v/>
      </c>
    </row>
    <row r="1881" spans="1:6">
      <c r="A1881" s="60">
        <v>187600</v>
      </c>
      <c r="B1881" s="60">
        <f t="shared" si="146"/>
        <v>4331282</v>
      </c>
      <c r="C1881" s="60">
        <f t="shared" si="149"/>
        <v>4331282</v>
      </c>
      <c r="D1881" s="61">
        <f t="shared" si="145"/>
        <v>1</v>
      </c>
      <c r="E1881" s="64">
        <f t="shared" si="147"/>
        <v>433.12815655415432</v>
      </c>
      <c r="F1881" s="62" t="str">
        <f t="shared" si="148"/>
        <v/>
      </c>
    </row>
    <row r="1882" spans="1:6">
      <c r="A1882" s="60">
        <v>187700</v>
      </c>
      <c r="B1882" s="60">
        <f t="shared" si="146"/>
        <v>4332436</v>
      </c>
      <c r="C1882" s="60">
        <f t="shared" si="149"/>
        <v>4332436</v>
      </c>
      <c r="D1882" s="61">
        <f t="shared" si="145"/>
        <v>1</v>
      </c>
      <c r="E1882" s="64">
        <f t="shared" si="147"/>
        <v>433.24358044868939</v>
      </c>
      <c r="F1882" s="62" t="str">
        <f t="shared" si="148"/>
        <v/>
      </c>
    </row>
    <row r="1883" spans="1:6">
      <c r="A1883" s="60">
        <v>187800</v>
      </c>
      <c r="B1883" s="60">
        <f t="shared" si="146"/>
        <v>4333590</v>
      </c>
      <c r="C1883" s="60">
        <f t="shared" si="149"/>
        <v>4333590</v>
      </c>
      <c r="D1883" s="61">
        <f t="shared" si="145"/>
        <v>1</v>
      </c>
      <c r="E1883" s="64">
        <f t="shared" si="147"/>
        <v>433.358973600409</v>
      </c>
      <c r="F1883" s="62" t="str">
        <f t="shared" si="148"/>
        <v/>
      </c>
    </row>
    <row r="1884" spans="1:6">
      <c r="A1884" s="60">
        <v>187900</v>
      </c>
      <c r="B1884" s="60">
        <f t="shared" si="146"/>
        <v>4334743</v>
      </c>
      <c r="C1884" s="60">
        <f t="shared" si="149"/>
        <v>4334743</v>
      </c>
      <c r="D1884" s="61">
        <f t="shared" si="145"/>
        <v>1</v>
      </c>
      <c r="E1884" s="64">
        <f t="shared" si="147"/>
        <v>433.47433603386486</v>
      </c>
      <c r="F1884" s="62" t="str">
        <f t="shared" si="148"/>
        <v/>
      </c>
    </row>
    <row r="1885" spans="1:6">
      <c r="A1885" s="60">
        <v>188000</v>
      </c>
      <c r="B1885" s="60">
        <f t="shared" si="146"/>
        <v>4335897</v>
      </c>
      <c r="C1885" s="60">
        <f t="shared" si="149"/>
        <v>4335897</v>
      </c>
      <c r="D1885" s="61">
        <f t="shared" si="145"/>
        <v>1</v>
      </c>
      <c r="E1885" s="64">
        <f t="shared" si="147"/>
        <v>433.58966777357597</v>
      </c>
      <c r="F1885" s="62" t="str">
        <f t="shared" si="148"/>
        <v/>
      </c>
    </row>
    <row r="1886" spans="1:6">
      <c r="A1886" s="60">
        <v>188100</v>
      </c>
      <c r="B1886" s="60">
        <f t="shared" si="146"/>
        <v>4337050</v>
      </c>
      <c r="C1886" s="60">
        <f t="shared" si="149"/>
        <v>4337050</v>
      </c>
      <c r="D1886" s="61">
        <f t="shared" si="145"/>
        <v>1</v>
      </c>
      <c r="E1886" s="64">
        <f t="shared" si="147"/>
        <v>433.70496884402883</v>
      </c>
      <c r="F1886" s="62" t="str">
        <f t="shared" si="148"/>
        <v/>
      </c>
    </row>
    <row r="1887" spans="1:6">
      <c r="A1887" s="60">
        <v>188200</v>
      </c>
      <c r="B1887" s="60">
        <f t="shared" si="146"/>
        <v>4338202</v>
      </c>
      <c r="C1887" s="60">
        <f t="shared" si="149"/>
        <v>4338202</v>
      </c>
      <c r="D1887" s="61">
        <f t="shared" si="145"/>
        <v>1</v>
      </c>
      <c r="E1887" s="64">
        <f t="shared" si="147"/>
        <v>433.82023926967724</v>
      </c>
      <c r="F1887" s="62" t="str">
        <f t="shared" si="148"/>
        <v/>
      </c>
    </row>
    <row r="1888" spans="1:6">
      <c r="A1888" s="60">
        <v>188300</v>
      </c>
      <c r="B1888" s="60">
        <f t="shared" si="146"/>
        <v>4339355</v>
      </c>
      <c r="C1888" s="60">
        <f t="shared" si="149"/>
        <v>4339355</v>
      </c>
      <c r="D1888" s="61">
        <f t="shared" si="145"/>
        <v>1</v>
      </c>
      <c r="E1888" s="64">
        <f t="shared" si="147"/>
        <v>433.93547907494263</v>
      </c>
      <c r="F1888" s="62" t="str">
        <f t="shared" si="148"/>
        <v/>
      </c>
    </row>
    <row r="1889" spans="1:6">
      <c r="A1889" s="60">
        <v>188400</v>
      </c>
      <c r="B1889" s="60">
        <f t="shared" si="146"/>
        <v>4340507</v>
      </c>
      <c r="C1889" s="60">
        <f t="shared" si="149"/>
        <v>4340507</v>
      </c>
      <c r="D1889" s="61">
        <f t="shared" si="145"/>
        <v>1</v>
      </c>
      <c r="E1889" s="64">
        <f t="shared" si="147"/>
        <v>434.05068828421412</v>
      </c>
      <c r="F1889" s="62" t="str">
        <f t="shared" si="148"/>
        <v/>
      </c>
    </row>
    <row r="1890" spans="1:6">
      <c r="A1890" s="60">
        <v>188500</v>
      </c>
      <c r="B1890" s="60">
        <f t="shared" si="146"/>
        <v>4341659</v>
      </c>
      <c r="C1890" s="60">
        <f t="shared" si="149"/>
        <v>4341659</v>
      </c>
      <c r="D1890" s="61">
        <f t="shared" si="145"/>
        <v>1</v>
      </c>
      <c r="E1890" s="64">
        <f t="shared" si="147"/>
        <v>434.16586692184819</v>
      </c>
      <c r="F1890" s="62" t="str">
        <f t="shared" si="148"/>
        <v/>
      </c>
    </row>
    <row r="1891" spans="1:6">
      <c r="A1891" s="60">
        <v>188600</v>
      </c>
      <c r="B1891" s="60">
        <f t="shared" si="146"/>
        <v>4342810</v>
      </c>
      <c r="C1891" s="60">
        <f t="shared" si="149"/>
        <v>4342810</v>
      </c>
      <c r="D1891" s="61">
        <f t="shared" si="145"/>
        <v>1</v>
      </c>
      <c r="E1891" s="64">
        <f t="shared" si="147"/>
        <v>434.28101501216929</v>
      </c>
      <c r="F1891" s="62" t="str">
        <f t="shared" si="148"/>
        <v/>
      </c>
    </row>
    <row r="1892" spans="1:6">
      <c r="A1892" s="60">
        <v>188700</v>
      </c>
      <c r="B1892" s="60">
        <f t="shared" si="146"/>
        <v>4343961</v>
      </c>
      <c r="C1892" s="60">
        <f t="shared" si="149"/>
        <v>4343961</v>
      </c>
      <c r="D1892" s="61">
        <f t="shared" si="145"/>
        <v>1</v>
      </c>
      <c r="E1892" s="64">
        <f t="shared" si="147"/>
        <v>434.39613257946945</v>
      </c>
      <c r="F1892" s="62" t="str">
        <f t="shared" si="148"/>
        <v/>
      </c>
    </row>
    <row r="1893" spans="1:6">
      <c r="A1893" s="60">
        <v>188800</v>
      </c>
      <c r="B1893" s="60">
        <f t="shared" si="146"/>
        <v>4345112</v>
      </c>
      <c r="C1893" s="60">
        <f t="shared" si="149"/>
        <v>4345112</v>
      </c>
      <c r="D1893" s="61">
        <f t="shared" si="145"/>
        <v>1</v>
      </c>
      <c r="E1893" s="64">
        <f t="shared" si="147"/>
        <v>434.51121964800865</v>
      </c>
      <c r="F1893" s="62" t="str">
        <f t="shared" si="148"/>
        <v/>
      </c>
    </row>
    <row r="1894" spans="1:6">
      <c r="A1894" s="60">
        <v>188900</v>
      </c>
      <c r="B1894" s="60">
        <f t="shared" si="146"/>
        <v>4346263</v>
      </c>
      <c r="C1894" s="60">
        <f t="shared" si="149"/>
        <v>4346263</v>
      </c>
      <c r="D1894" s="61">
        <f t="shared" si="145"/>
        <v>1</v>
      </c>
      <c r="E1894" s="64">
        <f t="shared" si="147"/>
        <v>434.62627624201463</v>
      </c>
      <c r="F1894" s="62" t="str">
        <f t="shared" si="148"/>
        <v/>
      </c>
    </row>
    <row r="1895" spans="1:6">
      <c r="A1895" s="60">
        <v>189000</v>
      </c>
      <c r="B1895" s="60">
        <f t="shared" si="146"/>
        <v>4347413</v>
      </c>
      <c r="C1895" s="60">
        <f t="shared" si="149"/>
        <v>4347413</v>
      </c>
      <c r="D1895" s="61">
        <f t="shared" si="145"/>
        <v>1</v>
      </c>
      <c r="E1895" s="64">
        <f t="shared" si="147"/>
        <v>434.74130238568318</v>
      </c>
      <c r="F1895" s="62" t="str">
        <f t="shared" si="148"/>
        <v/>
      </c>
    </row>
    <row r="1896" spans="1:6">
      <c r="A1896" s="60">
        <v>189100</v>
      </c>
      <c r="B1896" s="60">
        <f t="shared" si="146"/>
        <v>4348563</v>
      </c>
      <c r="C1896" s="60">
        <f t="shared" si="149"/>
        <v>4348563</v>
      </c>
      <c r="D1896" s="61">
        <f t="shared" si="145"/>
        <v>1</v>
      </c>
      <c r="E1896" s="64">
        <f t="shared" si="147"/>
        <v>434.85629810317801</v>
      </c>
      <c r="F1896" s="62" t="str">
        <f t="shared" si="148"/>
        <v/>
      </c>
    </row>
    <row r="1897" spans="1:6">
      <c r="A1897" s="60">
        <v>189200</v>
      </c>
      <c r="B1897" s="60">
        <f t="shared" si="146"/>
        <v>4349713</v>
      </c>
      <c r="C1897" s="60">
        <f t="shared" si="149"/>
        <v>4349713</v>
      </c>
      <c r="D1897" s="61">
        <f t="shared" si="145"/>
        <v>1</v>
      </c>
      <c r="E1897" s="64">
        <f t="shared" si="147"/>
        <v>434.97126341863088</v>
      </c>
      <c r="F1897" s="62" t="str">
        <f t="shared" si="148"/>
        <v/>
      </c>
    </row>
    <row r="1898" spans="1:6">
      <c r="A1898" s="60">
        <v>189300</v>
      </c>
      <c r="B1898" s="60">
        <f t="shared" si="146"/>
        <v>4350862</v>
      </c>
      <c r="C1898" s="60">
        <f t="shared" si="149"/>
        <v>4350862</v>
      </c>
      <c r="D1898" s="61">
        <f t="shared" si="145"/>
        <v>1</v>
      </c>
      <c r="E1898" s="64">
        <f t="shared" si="147"/>
        <v>435.08619835614184</v>
      </c>
      <c r="F1898" s="62" t="str">
        <f t="shared" si="148"/>
        <v/>
      </c>
    </row>
    <row r="1899" spans="1:6">
      <c r="A1899" s="60">
        <v>189400</v>
      </c>
      <c r="B1899" s="60">
        <f t="shared" si="146"/>
        <v>4352011</v>
      </c>
      <c r="C1899" s="60">
        <f t="shared" si="149"/>
        <v>4352011</v>
      </c>
      <c r="D1899" s="61">
        <f t="shared" si="145"/>
        <v>1</v>
      </c>
      <c r="E1899" s="64">
        <f t="shared" si="147"/>
        <v>435.20110293977888</v>
      </c>
      <c r="F1899" s="62" t="str">
        <f t="shared" si="148"/>
        <v/>
      </c>
    </row>
    <row r="1900" spans="1:6">
      <c r="A1900" s="60">
        <v>189500</v>
      </c>
      <c r="B1900" s="60">
        <f t="shared" si="146"/>
        <v>4353160</v>
      </c>
      <c r="C1900" s="60">
        <f t="shared" si="149"/>
        <v>4353160</v>
      </c>
      <c r="D1900" s="61">
        <f t="shared" si="145"/>
        <v>1</v>
      </c>
      <c r="E1900" s="64">
        <f t="shared" si="147"/>
        <v>435.31597719357831</v>
      </c>
      <c r="F1900" s="62" t="str">
        <f t="shared" si="148"/>
        <v/>
      </c>
    </row>
    <row r="1901" spans="1:6">
      <c r="A1901" s="60">
        <v>189600</v>
      </c>
      <c r="B1901" s="60">
        <f t="shared" si="146"/>
        <v>4354308</v>
      </c>
      <c r="C1901" s="60">
        <f t="shared" si="149"/>
        <v>4354308</v>
      </c>
      <c r="D1901" s="61">
        <f t="shared" si="145"/>
        <v>1</v>
      </c>
      <c r="E1901" s="64">
        <f t="shared" si="147"/>
        <v>435.43082114154481</v>
      </c>
      <c r="F1901" s="62" t="str">
        <f t="shared" si="148"/>
        <v/>
      </c>
    </row>
    <row r="1902" spans="1:6">
      <c r="A1902" s="60">
        <v>189700</v>
      </c>
      <c r="B1902" s="60">
        <f t="shared" si="146"/>
        <v>4355456</v>
      </c>
      <c r="C1902" s="60">
        <f t="shared" si="149"/>
        <v>4355456</v>
      </c>
      <c r="D1902" s="61">
        <f t="shared" si="145"/>
        <v>1</v>
      </c>
      <c r="E1902" s="64">
        <f t="shared" si="147"/>
        <v>435.54563480765137</v>
      </c>
      <c r="F1902" s="62" t="str">
        <f t="shared" si="148"/>
        <v/>
      </c>
    </row>
    <row r="1903" spans="1:6">
      <c r="A1903" s="60">
        <v>189800</v>
      </c>
      <c r="B1903" s="60">
        <f t="shared" si="146"/>
        <v>4356604</v>
      </c>
      <c r="C1903" s="60">
        <f t="shared" si="149"/>
        <v>4356604</v>
      </c>
      <c r="D1903" s="61">
        <f t="shared" si="145"/>
        <v>1</v>
      </c>
      <c r="E1903" s="64">
        <f t="shared" si="147"/>
        <v>435.66041821583929</v>
      </c>
      <c r="F1903" s="62" t="str">
        <f t="shared" si="148"/>
        <v/>
      </c>
    </row>
    <row r="1904" spans="1:6">
      <c r="A1904" s="60">
        <v>189900</v>
      </c>
      <c r="B1904" s="60">
        <f t="shared" si="146"/>
        <v>4357752</v>
      </c>
      <c r="C1904" s="60">
        <f t="shared" si="149"/>
        <v>4357752</v>
      </c>
      <c r="D1904" s="61">
        <f t="shared" si="145"/>
        <v>1</v>
      </c>
      <c r="E1904" s="64">
        <f t="shared" si="147"/>
        <v>435.7751713900185</v>
      </c>
      <c r="F1904" s="62" t="str">
        <f t="shared" si="148"/>
        <v/>
      </c>
    </row>
    <row r="1905" spans="1:6">
      <c r="A1905" s="60">
        <v>190000</v>
      </c>
      <c r="B1905" s="60">
        <f t="shared" si="146"/>
        <v>4358899</v>
      </c>
      <c r="C1905" s="60">
        <f t="shared" si="149"/>
        <v>4358899</v>
      </c>
      <c r="D1905" s="61">
        <f t="shared" si="145"/>
        <v>1</v>
      </c>
      <c r="E1905" s="64">
        <f t="shared" si="147"/>
        <v>435.88989435406734</v>
      </c>
      <c r="F1905" s="62" t="str">
        <f t="shared" si="148"/>
        <v/>
      </c>
    </row>
    <row r="1906" spans="1:6">
      <c r="A1906" s="60">
        <v>190100</v>
      </c>
      <c r="B1906" s="60">
        <f t="shared" si="146"/>
        <v>4360046</v>
      </c>
      <c r="C1906" s="60">
        <f t="shared" si="149"/>
        <v>4360046</v>
      </c>
      <c r="D1906" s="61">
        <f t="shared" si="145"/>
        <v>1</v>
      </c>
      <c r="E1906" s="64">
        <f t="shared" si="147"/>
        <v>436.00458713183281</v>
      </c>
      <c r="F1906" s="62" t="str">
        <f t="shared" si="148"/>
        <v/>
      </c>
    </row>
    <row r="1907" spans="1:6">
      <c r="A1907" s="60">
        <v>190200</v>
      </c>
      <c r="B1907" s="60">
        <f t="shared" si="146"/>
        <v>4361192</v>
      </c>
      <c r="C1907" s="60">
        <f t="shared" si="149"/>
        <v>4361192</v>
      </c>
      <c r="D1907" s="61">
        <f t="shared" si="145"/>
        <v>1</v>
      </c>
      <c r="E1907" s="64">
        <f t="shared" si="147"/>
        <v>436.11924974713054</v>
      </c>
      <c r="F1907" s="62" t="str">
        <f t="shared" si="148"/>
        <v/>
      </c>
    </row>
    <row r="1908" spans="1:6">
      <c r="A1908" s="60">
        <v>190300</v>
      </c>
      <c r="B1908" s="60">
        <f t="shared" si="146"/>
        <v>4362339</v>
      </c>
      <c r="C1908" s="60">
        <f t="shared" si="149"/>
        <v>4362339</v>
      </c>
      <c r="D1908" s="61">
        <f t="shared" si="145"/>
        <v>1</v>
      </c>
      <c r="E1908" s="64">
        <f t="shared" si="147"/>
        <v>436.23388222374473</v>
      </c>
      <c r="F1908" s="62" t="str">
        <f t="shared" si="148"/>
        <v/>
      </c>
    </row>
    <row r="1909" spans="1:6">
      <c r="A1909" s="60">
        <v>190400</v>
      </c>
      <c r="B1909" s="60">
        <f t="shared" si="146"/>
        <v>4363485</v>
      </c>
      <c r="C1909" s="60">
        <f t="shared" si="149"/>
        <v>4363485</v>
      </c>
      <c r="D1909" s="61">
        <f t="shared" si="145"/>
        <v>1</v>
      </c>
      <c r="E1909" s="64">
        <f t="shared" si="147"/>
        <v>436.34848458542859</v>
      </c>
      <c r="F1909" s="62" t="str">
        <f t="shared" si="148"/>
        <v/>
      </c>
    </row>
    <row r="1910" spans="1:6">
      <c r="A1910" s="60">
        <v>190500</v>
      </c>
      <c r="B1910" s="60">
        <f t="shared" si="146"/>
        <v>4364631</v>
      </c>
      <c r="C1910" s="60">
        <f t="shared" si="149"/>
        <v>4364631</v>
      </c>
      <c r="D1910" s="61">
        <f t="shared" si="145"/>
        <v>1</v>
      </c>
      <c r="E1910" s="64">
        <f t="shared" si="147"/>
        <v>436.46305685590391</v>
      </c>
      <c r="F1910" s="62" t="str">
        <f t="shared" si="148"/>
        <v/>
      </c>
    </row>
    <row r="1911" spans="1:6">
      <c r="A1911" s="60">
        <v>190600</v>
      </c>
      <c r="B1911" s="60">
        <f t="shared" si="146"/>
        <v>4365776</v>
      </c>
      <c r="C1911" s="60">
        <f t="shared" si="149"/>
        <v>4365776</v>
      </c>
      <c r="D1911" s="61">
        <f t="shared" si="145"/>
        <v>1</v>
      </c>
      <c r="E1911" s="64">
        <f t="shared" si="147"/>
        <v>436.57759905886149</v>
      </c>
      <c r="F1911" s="62" t="str">
        <f t="shared" si="148"/>
        <v/>
      </c>
    </row>
    <row r="1912" spans="1:6">
      <c r="A1912" s="60">
        <v>190700</v>
      </c>
      <c r="B1912" s="60">
        <f t="shared" si="146"/>
        <v>4366921</v>
      </c>
      <c r="C1912" s="60">
        <f t="shared" si="149"/>
        <v>4366921</v>
      </c>
      <c r="D1912" s="61">
        <f t="shared" si="145"/>
        <v>1</v>
      </c>
      <c r="E1912" s="64">
        <f t="shared" si="147"/>
        <v>436.69211121796098</v>
      </c>
      <c r="F1912" s="62" t="str">
        <f t="shared" si="148"/>
        <v/>
      </c>
    </row>
    <row r="1913" spans="1:6">
      <c r="A1913" s="60">
        <v>190800</v>
      </c>
      <c r="B1913" s="60">
        <f t="shared" si="146"/>
        <v>4368066</v>
      </c>
      <c r="C1913" s="60">
        <f t="shared" si="149"/>
        <v>4368066</v>
      </c>
      <c r="D1913" s="61">
        <f t="shared" si="145"/>
        <v>1</v>
      </c>
      <c r="E1913" s="64">
        <f t="shared" si="147"/>
        <v>436.80659335683112</v>
      </c>
      <c r="F1913" s="62" t="str">
        <f t="shared" si="148"/>
        <v/>
      </c>
    </row>
    <row r="1914" spans="1:6">
      <c r="A1914" s="60">
        <v>190900</v>
      </c>
      <c r="B1914" s="60">
        <f t="shared" si="146"/>
        <v>4369210</v>
      </c>
      <c r="C1914" s="60">
        <f t="shared" si="149"/>
        <v>4369210</v>
      </c>
      <c r="D1914" s="61">
        <f t="shared" si="145"/>
        <v>1</v>
      </c>
      <c r="E1914" s="64">
        <f t="shared" si="147"/>
        <v>436.92104549906952</v>
      </c>
      <c r="F1914" s="62" t="str">
        <f t="shared" si="148"/>
        <v/>
      </c>
    </row>
    <row r="1915" spans="1:6">
      <c r="A1915" s="60">
        <v>191000</v>
      </c>
      <c r="B1915" s="60">
        <f t="shared" si="146"/>
        <v>4370355</v>
      </c>
      <c r="C1915" s="60">
        <f t="shared" si="149"/>
        <v>4370355</v>
      </c>
      <c r="D1915" s="61">
        <f t="shared" si="145"/>
        <v>1</v>
      </c>
      <c r="E1915" s="64">
        <f t="shared" si="147"/>
        <v>437.03546766824314</v>
      </c>
      <c r="F1915" s="62" t="str">
        <f t="shared" si="148"/>
        <v/>
      </c>
    </row>
    <row r="1916" spans="1:6">
      <c r="A1916" s="60">
        <v>191100</v>
      </c>
      <c r="B1916" s="60">
        <f t="shared" si="146"/>
        <v>4371499</v>
      </c>
      <c r="C1916" s="60">
        <f t="shared" si="149"/>
        <v>4371499</v>
      </c>
      <c r="D1916" s="61">
        <f t="shared" si="145"/>
        <v>1</v>
      </c>
      <c r="E1916" s="64">
        <f t="shared" si="147"/>
        <v>437.14985988788789</v>
      </c>
      <c r="F1916" s="62" t="str">
        <f t="shared" si="148"/>
        <v/>
      </c>
    </row>
    <row r="1917" spans="1:6">
      <c r="A1917" s="60">
        <v>191200</v>
      </c>
      <c r="B1917" s="60">
        <f t="shared" si="146"/>
        <v>4372642</v>
      </c>
      <c r="C1917" s="60">
        <f t="shared" si="149"/>
        <v>4372642</v>
      </c>
      <c r="D1917" s="61">
        <f t="shared" si="145"/>
        <v>1</v>
      </c>
      <c r="E1917" s="64">
        <f t="shared" si="147"/>
        <v>437.2642221815089</v>
      </c>
      <c r="F1917" s="62" t="str">
        <f t="shared" si="148"/>
        <v/>
      </c>
    </row>
    <row r="1918" spans="1:6">
      <c r="A1918" s="60">
        <v>191300</v>
      </c>
      <c r="B1918" s="60">
        <f t="shared" si="146"/>
        <v>4373786</v>
      </c>
      <c r="C1918" s="60">
        <f t="shared" si="149"/>
        <v>4373786</v>
      </c>
      <c r="D1918" s="61">
        <f t="shared" si="145"/>
        <v>1</v>
      </c>
      <c r="E1918" s="64">
        <f t="shared" si="147"/>
        <v>437.37855457258075</v>
      </c>
      <c r="F1918" s="62" t="str">
        <f t="shared" si="148"/>
        <v/>
      </c>
    </row>
    <row r="1919" spans="1:6">
      <c r="A1919" s="60">
        <v>191400</v>
      </c>
      <c r="B1919" s="60">
        <f t="shared" si="146"/>
        <v>4374929</v>
      </c>
      <c r="C1919" s="60">
        <f t="shared" si="149"/>
        <v>4374929</v>
      </c>
      <c r="D1919" s="61">
        <f t="shared" si="145"/>
        <v>1</v>
      </c>
      <c r="E1919" s="64">
        <f t="shared" si="147"/>
        <v>437.49285708454715</v>
      </c>
      <c r="F1919" s="62" t="str">
        <f t="shared" si="148"/>
        <v/>
      </c>
    </row>
    <row r="1920" spans="1:6">
      <c r="A1920" s="60">
        <v>191500</v>
      </c>
      <c r="B1920" s="60">
        <f t="shared" si="146"/>
        <v>4376071</v>
      </c>
      <c r="C1920" s="60">
        <f t="shared" si="149"/>
        <v>4376071</v>
      </c>
      <c r="D1920" s="61">
        <f t="shared" si="145"/>
        <v>1</v>
      </c>
      <c r="E1920" s="64">
        <f t="shared" si="147"/>
        <v>437.60712974082128</v>
      </c>
      <c r="F1920" s="62" t="str">
        <f t="shared" si="148"/>
        <v/>
      </c>
    </row>
    <row r="1921" spans="1:6">
      <c r="A1921" s="60">
        <v>191600</v>
      </c>
      <c r="B1921" s="60">
        <f t="shared" si="146"/>
        <v>4377214</v>
      </c>
      <c r="C1921" s="60">
        <f t="shared" si="149"/>
        <v>4377214</v>
      </c>
      <c r="D1921" s="61">
        <f t="shared" si="145"/>
        <v>1</v>
      </c>
      <c r="E1921" s="64">
        <f t="shared" si="147"/>
        <v>437.72137256478578</v>
      </c>
      <c r="F1921" s="62" t="str">
        <f t="shared" si="148"/>
        <v/>
      </c>
    </row>
    <row r="1922" spans="1:6">
      <c r="A1922" s="60">
        <v>191700</v>
      </c>
      <c r="B1922" s="60">
        <f t="shared" si="146"/>
        <v>4378356</v>
      </c>
      <c r="C1922" s="60">
        <f t="shared" si="149"/>
        <v>4378356</v>
      </c>
      <c r="D1922" s="61">
        <f t="shared" si="145"/>
        <v>1</v>
      </c>
      <c r="E1922" s="64">
        <f t="shared" si="147"/>
        <v>437.83558557979273</v>
      </c>
      <c r="F1922" s="62" t="str">
        <f t="shared" si="148"/>
        <v/>
      </c>
    </row>
    <row r="1923" spans="1:6">
      <c r="A1923" s="60">
        <v>191800</v>
      </c>
      <c r="B1923" s="60">
        <f t="shared" si="146"/>
        <v>4379498</v>
      </c>
      <c r="C1923" s="60">
        <f t="shared" si="149"/>
        <v>4379498</v>
      </c>
      <c r="D1923" s="61">
        <f t="shared" si="145"/>
        <v>1</v>
      </c>
      <c r="E1923" s="64">
        <f t="shared" si="147"/>
        <v>437.9497688091638</v>
      </c>
      <c r="F1923" s="62" t="str">
        <f t="shared" si="148"/>
        <v/>
      </c>
    </row>
    <row r="1924" spans="1:6">
      <c r="A1924" s="60">
        <v>191900</v>
      </c>
      <c r="B1924" s="60">
        <f t="shared" si="146"/>
        <v>4380639</v>
      </c>
      <c r="C1924" s="60">
        <f t="shared" si="149"/>
        <v>4380639</v>
      </c>
      <c r="D1924" s="61">
        <f t="shared" si="145"/>
        <v>1</v>
      </c>
      <c r="E1924" s="64">
        <f t="shared" si="147"/>
        <v>438.06392227619017</v>
      </c>
      <c r="F1924" s="62" t="str">
        <f t="shared" si="148"/>
        <v/>
      </c>
    </row>
    <row r="1925" spans="1:6">
      <c r="A1925" s="60">
        <v>192000</v>
      </c>
      <c r="B1925" s="60">
        <f t="shared" si="146"/>
        <v>4381780</v>
      </c>
      <c r="C1925" s="60">
        <f t="shared" si="149"/>
        <v>4381780</v>
      </c>
      <c r="D1925" s="61">
        <f t="shared" ref="D1925:D1988" si="150">(A1925-INDEX(兵力区间,MATCH(A1925,兵力区间,1)))/(INDEX(兵力区间,MATCH(A1925,兵力区间,1)+1)-INDEX(兵力区间,MATCH(A1925,兵力区间,1)))*((INDEX(兵力调节,MATCH(A1925,兵力区间,1)+1,2)-INDEX(兵力调节,MATCH(A1925,兵力区间,1),2)))+INDEX(兵力调节,MATCH(A1925,兵力区间,1),2)</f>
        <v>1</v>
      </c>
      <c r="E1925" s="64">
        <f t="shared" si="147"/>
        <v>438.17804600413291</v>
      </c>
      <c r="F1925" s="62" t="str">
        <f t="shared" si="148"/>
        <v/>
      </c>
    </row>
    <row r="1926" spans="1:6">
      <c r="A1926" s="60">
        <v>192100</v>
      </c>
      <c r="B1926" s="60">
        <f t="shared" si="146"/>
        <v>4382921</v>
      </c>
      <c r="C1926" s="60">
        <f t="shared" si="149"/>
        <v>4382921</v>
      </c>
      <c r="D1926" s="61">
        <f t="shared" si="150"/>
        <v>1</v>
      </c>
      <c r="E1926" s="64">
        <f t="shared" si="147"/>
        <v>438.2921400162225</v>
      </c>
      <c r="F1926" s="62" t="str">
        <f t="shared" si="148"/>
        <v/>
      </c>
    </row>
    <row r="1927" spans="1:6">
      <c r="A1927" s="60">
        <v>192200</v>
      </c>
      <c r="B1927" s="60">
        <f t="shared" ref="B1927:B1990" si="151">ROUND(D1927*E1927*10000,0)</f>
        <v>4384062</v>
      </c>
      <c r="C1927" s="60">
        <f t="shared" si="149"/>
        <v>4384062</v>
      </c>
      <c r="D1927" s="61">
        <f t="shared" si="150"/>
        <v>1</v>
      </c>
      <c r="E1927" s="64">
        <f t="shared" ref="E1927:E1990" si="152">A1927^0.5</f>
        <v>438.40620433565948</v>
      </c>
      <c r="F1927" s="62" t="str">
        <f t="shared" si="148"/>
        <v/>
      </c>
    </row>
    <row r="1928" spans="1:6">
      <c r="A1928" s="60">
        <v>192300</v>
      </c>
      <c r="B1928" s="60">
        <f t="shared" si="151"/>
        <v>4385202</v>
      </c>
      <c r="C1928" s="60">
        <f t="shared" si="149"/>
        <v>4385202</v>
      </c>
      <c r="D1928" s="61">
        <f t="shared" si="150"/>
        <v>1</v>
      </c>
      <c r="E1928" s="64">
        <f t="shared" si="152"/>
        <v>438.52023898561396</v>
      </c>
      <c r="F1928" s="62" t="str">
        <f t="shared" ref="F1928:F1991" si="153">IF(B1928&lt;B1927,1,"")</f>
        <v/>
      </c>
    </row>
    <row r="1929" spans="1:6">
      <c r="A1929" s="60">
        <v>192400</v>
      </c>
      <c r="B1929" s="60">
        <f t="shared" si="151"/>
        <v>4386342</v>
      </c>
      <c r="C1929" s="60">
        <f t="shared" si="149"/>
        <v>4386342</v>
      </c>
      <c r="D1929" s="61">
        <f t="shared" si="150"/>
        <v>1</v>
      </c>
      <c r="E1929" s="64">
        <f t="shared" si="152"/>
        <v>438.63424398922615</v>
      </c>
      <c r="F1929" s="62" t="str">
        <f t="shared" si="153"/>
        <v/>
      </c>
    </row>
    <row r="1930" spans="1:6">
      <c r="A1930" s="60">
        <v>192500</v>
      </c>
      <c r="B1930" s="60">
        <f t="shared" si="151"/>
        <v>4387482</v>
      </c>
      <c r="C1930" s="60">
        <f t="shared" si="149"/>
        <v>4387482</v>
      </c>
      <c r="D1930" s="61">
        <f t="shared" si="150"/>
        <v>1</v>
      </c>
      <c r="E1930" s="64">
        <f t="shared" si="152"/>
        <v>438.74821936960609</v>
      </c>
      <c r="F1930" s="62" t="str">
        <f t="shared" si="153"/>
        <v/>
      </c>
    </row>
    <row r="1931" spans="1:6">
      <c r="A1931" s="60">
        <v>192600</v>
      </c>
      <c r="B1931" s="60">
        <f t="shared" si="151"/>
        <v>4388622</v>
      </c>
      <c r="C1931" s="60">
        <f t="shared" ref="C1931:C1994" si="154">ROUND(D1931*E1931*10000,0)</f>
        <v>4388622</v>
      </c>
      <c r="D1931" s="61">
        <f t="shared" si="150"/>
        <v>1</v>
      </c>
      <c r="E1931" s="64">
        <f t="shared" si="152"/>
        <v>438.8621651498338</v>
      </c>
      <c r="F1931" s="62" t="str">
        <f t="shared" si="153"/>
        <v/>
      </c>
    </row>
    <row r="1932" spans="1:6">
      <c r="A1932" s="60">
        <v>192700</v>
      </c>
      <c r="B1932" s="60">
        <f t="shared" si="151"/>
        <v>4389761</v>
      </c>
      <c r="C1932" s="60">
        <f t="shared" si="154"/>
        <v>4389761</v>
      </c>
      <c r="D1932" s="61">
        <f t="shared" si="150"/>
        <v>1</v>
      </c>
      <c r="E1932" s="64">
        <f t="shared" si="152"/>
        <v>438.97608135295934</v>
      </c>
      <c r="F1932" s="62" t="str">
        <f t="shared" si="153"/>
        <v/>
      </c>
    </row>
    <row r="1933" spans="1:6">
      <c r="A1933" s="60">
        <v>192800</v>
      </c>
      <c r="B1933" s="60">
        <f t="shared" si="151"/>
        <v>4390900</v>
      </c>
      <c r="C1933" s="60">
        <f t="shared" si="154"/>
        <v>4390900</v>
      </c>
      <c r="D1933" s="61">
        <f t="shared" si="150"/>
        <v>1</v>
      </c>
      <c r="E1933" s="64">
        <f t="shared" si="152"/>
        <v>439.08996800200299</v>
      </c>
      <c r="F1933" s="62" t="str">
        <f t="shared" si="153"/>
        <v/>
      </c>
    </row>
    <row r="1934" spans="1:6">
      <c r="A1934" s="60">
        <v>192900</v>
      </c>
      <c r="B1934" s="60">
        <f t="shared" si="151"/>
        <v>4392038</v>
      </c>
      <c r="C1934" s="60">
        <f t="shared" si="154"/>
        <v>4392038</v>
      </c>
      <c r="D1934" s="61">
        <f t="shared" si="150"/>
        <v>1</v>
      </c>
      <c r="E1934" s="64">
        <f t="shared" si="152"/>
        <v>439.20382511995496</v>
      </c>
      <c r="F1934" s="62" t="str">
        <f t="shared" si="153"/>
        <v/>
      </c>
    </row>
    <row r="1935" spans="1:6">
      <c r="A1935" s="60">
        <v>193000</v>
      </c>
      <c r="B1935" s="60">
        <f t="shared" si="151"/>
        <v>4393177</v>
      </c>
      <c r="C1935" s="60">
        <f t="shared" si="154"/>
        <v>4393177</v>
      </c>
      <c r="D1935" s="61">
        <f t="shared" si="150"/>
        <v>1</v>
      </c>
      <c r="E1935" s="64">
        <f t="shared" si="152"/>
        <v>439.31765272977594</v>
      </c>
      <c r="F1935" s="62" t="str">
        <f t="shared" si="153"/>
        <v/>
      </c>
    </row>
    <row r="1936" spans="1:6">
      <c r="A1936" s="60">
        <v>193100</v>
      </c>
      <c r="B1936" s="60">
        <f t="shared" si="151"/>
        <v>4394315</v>
      </c>
      <c r="C1936" s="60">
        <f t="shared" si="154"/>
        <v>4394315</v>
      </c>
      <c r="D1936" s="61">
        <f t="shared" si="150"/>
        <v>1</v>
      </c>
      <c r="E1936" s="64">
        <f t="shared" si="152"/>
        <v>439.43145085439664</v>
      </c>
      <c r="F1936" s="62" t="str">
        <f t="shared" si="153"/>
        <v/>
      </c>
    </row>
    <row r="1937" spans="1:6">
      <c r="A1937" s="60">
        <v>193200</v>
      </c>
      <c r="B1937" s="60">
        <f t="shared" si="151"/>
        <v>4395452</v>
      </c>
      <c r="C1937" s="60">
        <f t="shared" si="154"/>
        <v>4395452</v>
      </c>
      <c r="D1937" s="61">
        <f t="shared" si="150"/>
        <v>1</v>
      </c>
      <c r="E1937" s="64">
        <f t="shared" si="152"/>
        <v>439.54521951671819</v>
      </c>
      <c r="F1937" s="62" t="str">
        <f t="shared" si="153"/>
        <v/>
      </c>
    </row>
    <row r="1938" spans="1:6">
      <c r="A1938" s="60">
        <v>193300</v>
      </c>
      <c r="B1938" s="60">
        <f t="shared" si="151"/>
        <v>4396590</v>
      </c>
      <c r="C1938" s="60">
        <f t="shared" si="154"/>
        <v>4396590</v>
      </c>
      <c r="D1938" s="61">
        <f t="shared" si="150"/>
        <v>1</v>
      </c>
      <c r="E1938" s="64">
        <f t="shared" si="152"/>
        <v>439.65895873961216</v>
      </c>
      <c r="F1938" s="62" t="str">
        <f t="shared" si="153"/>
        <v/>
      </c>
    </row>
    <row r="1939" spans="1:6">
      <c r="A1939" s="60">
        <v>193400</v>
      </c>
      <c r="B1939" s="60">
        <f t="shared" si="151"/>
        <v>4397727</v>
      </c>
      <c r="C1939" s="60">
        <f t="shared" si="154"/>
        <v>4397727</v>
      </c>
      <c r="D1939" s="61">
        <f t="shared" si="150"/>
        <v>1</v>
      </c>
      <c r="E1939" s="64">
        <f t="shared" si="152"/>
        <v>439.77266854592045</v>
      </c>
      <c r="F1939" s="62" t="str">
        <f t="shared" si="153"/>
        <v/>
      </c>
    </row>
    <row r="1940" spans="1:6">
      <c r="A1940" s="60">
        <v>193500</v>
      </c>
      <c r="B1940" s="60">
        <f t="shared" si="151"/>
        <v>4398863</v>
      </c>
      <c r="C1940" s="60">
        <f t="shared" si="154"/>
        <v>4398863</v>
      </c>
      <c r="D1940" s="61">
        <f t="shared" si="150"/>
        <v>1</v>
      </c>
      <c r="E1940" s="64">
        <f t="shared" si="152"/>
        <v>439.88634895845541</v>
      </c>
      <c r="F1940" s="62" t="str">
        <f t="shared" si="153"/>
        <v/>
      </c>
    </row>
    <row r="1941" spans="1:6">
      <c r="A1941" s="60">
        <v>193600</v>
      </c>
      <c r="B1941" s="60">
        <f t="shared" si="151"/>
        <v>4400000</v>
      </c>
      <c r="C1941" s="60">
        <f t="shared" si="154"/>
        <v>4400000</v>
      </c>
      <c r="D1941" s="61">
        <f t="shared" si="150"/>
        <v>1</v>
      </c>
      <c r="E1941" s="64">
        <f t="shared" si="152"/>
        <v>440</v>
      </c>
      <c r="F1941" s="62" t="str">
        <f t="shared" si="153"/>
        <v/>
      </c>
    </row>
    <row r="1942" spans="1:6">
      <c r="A1942" s="60">
        <v>193700</v>
      </c>
      <c r="B1942" s="60">
        <f t="shared" si="151"/>
        <v>4401136</v>
      </c>
      <c r="C1942" s="60">
        <f t="shared" si="154"/>
        <v>4401136</v>
      </c>
      <c r="D1942" s="61">
        <f t="shared" si="150"/>
        <v>1</v>
      </c>
      <c r="E1942" s="64">
        <f t="shared" si="152"/>
        <v>440.11362169330772</v>
      </c>
      <c r="F1942" s="62" t="str">
        <f t="shared" si="153"/>
        <v/>
      </c>
    </row>
    <row r="1943" spans="1:6">
      <c r="A1943" s="60">
        <v>193800</v>
      </c>
      <c r="B1943" s="60">
        <f t="shared" si="151"/>
        <v>4402272</v>
      </c>
      <c r="C1943" s="60">
        <f t="shared" si="154"/>
        <v>4402272</v>
      </c>
      <c r="D1943" s="61">
        <f t="shared" si="150"/>
        <v>1</v>
      </c>
      <c r="E1943" s="64">
        <f t="shared" si="152"/>
        <v>440.22721406110276</v>
      </c>
      <c r="F1943" s="62" t="str">
        <f t="shared" si="153"/>
        <v/>
      </c>
    </row>
    <row r="1944" spans="1:6">
      <c r="A1944" s="60">
        <v>193900</v>
      </c>
      <c r="B1944" s="60">
        <f t="shared" si="151"/>
        <v>4403408</v>
      </c>
      <c r="C1944" s="60">
        <f t="shared" si="154"/>
        <v>4403408</v>
      </c>
      <c r="D1944" s="61">
        <f t="shared" si="150"/>
        <v>1</v>
      </c>
      <c r="E1944" s="64">
        <f t="shared" si="152"/>
        <v>440.34077712607996</v>
      </c>
      <c r="F1944" s="62" t="str">
        <f t="shared" si="153"/>
        <v/>
      </c>
    </row>
    <row r="1945" spans="1:6">
      <c r="A1945" s="60">
        <v>194000</v>
      </c>
      <c r="B1945" s="60">
        <f t="shared" si="151"/>
        <v>4404543</v>
      </c>
      <c r="C1945" s="60">
        <f t="shared" si="154"/>
        <v>4404543</v>
      </c>
      <c r="D1945" s="61">
        <f t="shared" si="150"/>
        <v>1</v>
      </c>
      <c r="E1945" s="64">
        <f t="shared" si="152"/>
        <v>440.45431091090484</v>
      </c>
      <c r="F1945" s="62" t="str">
        <f t="shared" si="153"/>
        <v/>
      </c>
    </row>
    <row r="1946" spans="1:6">
      <c r="A1946" s="60">
        <v>194100</v>
      </c>
      <c r="B1946" s="60">
        <f t="shared" si="151"/>
        <v>4405678</v>
      </c>
      <c r="C1946" s="60">
        <f t="shared" si="154"/>
        <v>4405678</v>
      </c>
      <c r="D1946" s="61">
        <f t="shared" si="150"/>
        <v>1</v>
      </c>
      <c r="E1946" s="64">
        <f t="shared" si="152"/>
        <v>440.56781543821376</v>
      </c>
      <c r="F1946" s="62" t="str">
        <f t="shared" si="153"/>
        <v/>
      </c>
    </row>
    <row r="1947" spans="1:6">
      <c r="A1947" s="60">
        <v>194200</v>
      </c>
      <c r="B1947" s="60">
        <f t="shared" si="151"/>
        <v>4406813</v>
      </c>
      <c r="C1947" s="60">
        <f t="shared" si="154"/>
        <v>4406813</v>
      </c>
      <c r="D1947" s="61">
        <f t="shared" si="150"/>
        <v>1</v>
      </c>
      <c r="E1947" s="64">
        <f t="shared" si="152"/>
        <v>440.68129073061408</v>
      </c>
      <c r="F1947" s="62" t="str">
        <f t="shared" si="153"/>
        <v/>
      </c>
    </row>
    <row r="1948" spans="1:6">
      <c r="A1948" s="60">
        <v>194300</v>
      </c>
      <c r="B1948" s="60">
        <f t="shared" si="151"/>
        <v>4407947</v>
      </c>
      <c r="C1948" s="60">
        <f t="shared" si="154"/>
        <v>4407947</v>
      </c>
      <c r="D1948" s="61">
        <f t="shared" si="150"/>
        <v>1</v>
      </c>
      <c r="E1948" s="64">
        <f t="shared" si="152"/>
        <v>440.79473681068379</v>
      </c>
      <c r="F1948" s="62" t="str">
        <f t="shared" si="153"/>
        <v/>
      </c>
    </row>
    <row r="1949" spans="1:6">
      <c r="A1949" s="60">
        <v>194400</v>
      </c>
      <c r="B1949" s="60">
        <f t="shared" si="151"/>
        <v>4409082</v>
      </c>
      <c r="C1949" s="60">
        <f t="shared" si="154"/>
        <v>4409082</v>
      </c>
      <c r="D1949" s="61">
        <f t="shared" si="150"/>
        <v>1</v>
      </c>
      <c r="E1949" s="64">
        <f t="shared" si="152"/>
        <v>440.90815370097204</v>
      </c>
      <c r="F1949" s="62" t="str">
        <f t="shared" si="153"/>
        <v/>
      </c>
    </row>
    <row r="1950" spans="1:6">
      <c r="A1950" s="60">
        <v>194500</v>
      </c>
      <c r="B1950" s="60">
        <f t="shared" si="151"/>
        <v>4410215</v>
      </c>
      <c r="C1950" s="60">
        <f t="shared" si="154"/>
        <v>4410215</v>
      </c>
      <c r="D1950" s="61">
        <f t="shared" si="150"/>
        <v>1</v>
      </c>
      <c r="E1950" s="64">
        <f t="shared" si="152"/>
        <v>441.02154142399894</v>
      </c>
      <c r="F1950" s="62" t="str">
        <f t="shared" si="153"/>
        <v/>
      </c>
    </row>
    <row r="1951" spans="1:6">
      <c r="A1951" s="60">
        <v>194600</v>
      </c>
      <c r="B1951" s="60">
        <f t="shared" si="151"/>
        <v>4411349</v>
      </c>
      <c r="C1951" s="60">
        <f t="shared" si="154"/>
        <v>4411349</v>
      </c>
      <c r="D1951" s="61">
        <f t="shared" si="150"/>
        <v>1</v>
      </c>
      <c r="E1951" s="64">
        <f t="shared" si="152"/>
        <v>441.13490000225556</v>
      </c>
      <c r="F1951" s="62" t="str">
        <f t="shared" si="153"/>
        <v/>
      </c>
    </row>
    <row r="1952" spans="1:6">
      <c r="A1952" s="60">
        <v>194700</v>
      </c>
      <c r="B1952" s="60">
        <f t="shared" si="151"/>
        <v>4412482</v>
      </c>
      <c r="C1952" s="60">
        <f t="shared" si="154"/>
        <v>4412482</v>
      </c>
      <c r="D1952" s="61">
        <f t="shared" si="150"/>
        <v>1</v>
      </c>
      <c r="E1952" s="64">
        <f t="shared" si="152"/>
        <v>441.24822945820415</v>
      </c>
      <c r="F1952" s="62" t="str">
        <f t="shared" si="153"/>
        <v/>
      </c>
    </row>
    <row r="1953" spans="1:6">
      <c r="A1953" s="60">
        <v>194800</v>
      </c>
      <c r="B1953" s="60">
        <f t="shared" si="151"/>
        <v>4413615</v>
      </c>
      <c r="C1953" s="60">
        <f t="shared" si="154"/>
        <v>4413615</v>
      </c>
      <c r="D1953" s="61">
        <f t="shared" si="150"/>
        <v>1</v>
      </c>
      <c r="E1953" s="64">
        <f t="shared" si="152"/>
        <v>441.36152981427824</v>
      </c>
      <c r="F1953" s="62" t="str">
        <f t="shared" si="153"/>
        <v/>
      </c>
    </row>
    <row r="1954" spans="1:6">
      <c r="A1954" s="60">
        <v>194900</v>
      </c>
      <c r="B1954" s="60">
        <f t="shared" si="151"/>
        <v>4414748</v>
      </c>
      <c r="C1954" s="60">
        <f t="shared" si="154"/>
        <v>4414748</v>
      </c>
      <c r="D1954" s="61">
        <f t="shared" si="150"/>
        <v>1</v>
      </c>
      <c r="E1954" s="64">
        <f t="shared" si="152"/>
        <v>441.47480109288233</v>
      </c>
      <c r="F1954" s="62" t="str">
        <f t="shared" si="153"/>
        <v/>
      </c>
    </row>
    <row r="1955" spans="1:6">
      <c r="A1955" s="60">
        <v>195000</v>
      </c>
      <c r="B1955" s="60">
        <f t="shared" si="151"/>
        <v>4415880</v>
      </c>
      <c r="C1955" s="60">
        <f t="shared" si="154"/>
        <v>4415880</v>
      </c>
      <c r="D1955" s="61">
        <f t="shared" si="150"/>
        <v>1</v>
      </c>
      <c r="E1955" s="64">
        <f t="shared" si="152"/>
        <v>441.58804331639232</v>
      </c>
      <c r="F1955" s="62" t="str">
        <f t="shared" si="153"/>
        <v/>
      </c>
    </row>
    <row r="1956" spans="1:6">
      <c r="A1956" s="60">
        <v>195100</v>
      </c>
      <c r="B1956" s="60">
        <f t="shared" si="151"/>
        <v>4417013</v>
      </c>
      <c r="C1956" s="60">
        <f t="shared" si="154"/>
        <v>4417013</v>
      </c>
      <c r="D1956" s="61">
        <f t="shared" si="150"/>
        <v>1</v>
      </c>
      <c r="E1956" s="64">
        <f t="shared" si="152"/>
        <v>441.70125650715551</v>
      </c>
      <c r="F1956" s="62" t="str">
        <f t="shared" si="153"/>
        <v/>
      </c>
    </row>
    <row r="1957" spans="1:6">
      <c r="A1957" s="60">
        <v>195200</v>
      </c>
      <c r="B1957" s="60">
        <f t="shared" si="151"/>
        <v>4418144</v>
      </c>
      <c r="C1957" s="60">
        <f t="shared" si="154"/>
        <v>4418144</v>
      </c>
      <c r="D1957" s="61">
        <f t="shared" si="150"/>
        <v>1</v>
      </c>
      <c r="E1957" s="64">
        <f t="shared" si="152"/>
        <v>441.81444068749045</v>
      </c>
      <c r="F1957" s="62" t="str">
        <f t="shared" si="153"/>
        <v/>
      </c>
    </row>
    <row r="1958" spans="1:6">
      <c r="A1958" s="60">
        <v>195300</v>
      </c>
      <c r="B1958" s="60">
        <f t="shared" si="151"/>
        <v>4419276</v>
      </c>
      <c r="C1958" s="60">
        <f t="shared" si="154"/>
        <v>4419276</v>
      </c>
      <c r="D1958" s="61">
        <f t="shared" si="150"/>
        <v>1</v>
      </c>
      <c r="E1958" s="64">
        <f t="shared" si="152"/>
        <v>441.92759587968703</v>
      </c>
      <c r="F1958" s="62" t="str">
        <f t="shared" si="153"/>
        <v/>
      </c>
    </row>
    <row r="1959" spans="1:6">
      <c r="A1959" s="60">
        <v>195400</v>
      </c>
      <c r="B1959" s="60">
        <f t="shared" si="151"/>
        <v>4420407</v>
      </c>
      <c r="C1959" s="60">
        <f t="shared" si="154"/>
        <v>4420407</v>
      </c>
      <c r="D1959" s="61">
        <f t="shared" si="150"/>
        <v>1</v>
      </c>
      <c r="E1959" s="64">
        <f t="shared" si="152"/>
        <v>442.04072210600685</v>
      </c>
      <c r="F1959" s="62" t="str">
        <f t="shared" si="153"/>
        <v/>
      </c>
    </row>
    <row r="1960" spans="1:6">
      <c r="A1960" s="60">
        <v>195500</v>
      </c>
      <c r="B1960" s="60">
        <f t="shared" si="151"/>
        <v>4421538</v>
      </c>
      <c r="C1960" s="60">
        <f t="shared" si="154"/>
        <v>4421538</v>
      </c>
      <c r="D1960" s="61">
        <f t="shared" si="150"/>
        <v>1</v>
      </c>
      <c r="E1960" s="64">
        <f t="shared" si="152"/>
        <v>442.1538193886829</v>
      </c>
      <c r="F1960" s="62" t="str">
        <f t="shared" si="153"/>
        <v/>
      </c>
    </row>
    <row r="1961" spans="1:6">
      <c r="A1961" s="60">
        <v>195600</v>
      </c>
      <c r="B1961" s="60">
        <f t="shared" si="151"/>
        <v>4422669</v>
      </c>
      <c r="C1961" s="60">
        <f t="shared" si="154"/>
        <v>4422669</v>
      </c>
      <c r="D1961" s="61">
        <f t="shared" si="150"/>
        <v>1</v>
      </c>
      <c r="E1961" s="64">
        <f t="shared" si="152"/>
        <v>442.26688774991965</v>
      </c>
      <c r="F1961" s="62" t="str">
        <f t="shared" si="153"/>
        <v/>
      </c>
    </row>
    <row r="1962" spans="1:6">
      <c r="A1962" s="60">
        <v>195700</v>
      </c>
      <c r="B1962" s="60">
        <f t="shared" si="151"/>
        <v>4423799</v>
      </c>
      <c r="C1962" s="60">
        <f t="shared" si="154"/>
        <v>4423799</v>
      </c>
      <c r="D1962" s="61">
        <f t="shared" si="150"/>
        <v>1</v>
      </c>
      <c r="E1962" s="64">
        <f t="shared" si="152"/>
        <v>442.37992721189329</v>
      </c>
      <c r="F1962" s="62" t="str">
        <f t="shared" si="153"/>
        <v/>
      </c>
    </row>
    <row r="1963" spans="1:6">
      <c r="A1963" s="60">
        <v>195800</v>
      </c>
      <c r="B1963" s="60">
        <f t="shared" si="151"/>
        <v>4424929</v>
      </c>
      <c r="C1963" s="60">
        <f t="shared" si="154"/>
        <v>4424929</v>
      </c>
      <c r="D1963" s="61">
        <f t="shared" si="150"/>
        <v>1</v>
      </c>
      <c r="E1963" s="64">
        <f t="shared" si="152"/>
        <v>442.49293779675173</v>
      </c>
      <c r="F1963" s="62" t="str">
        <f t="shared" si="153"/>
        <v/>
      </c>
    </row>
    <row r="1964" spans="1:6">
      <c r="A1964" s="60">
        <v>195900</v>
      </c>
      <c r="B1964" s="60">
        <f t="shared" si="151"/>
        <v>4426059</v>
      </c>
      <c r="C1964" s="60">
        <f t="shared" si="154"/>
        <v>4426059</v>
      </c>
      <c r="D1964" s="61">
        <f t="shared" si="150"/>
        <v>1</v>
      </c>
      <c r="E1964" s="64">
        <f t="shared" si="152"/>
        <v>442.60591952661457</v>
      </c>
      <c r="F1964" s="62" t="str">
        <f t="shared" si="153"/>
        <v/>
      </c>
    </row>
    <row r="1965" spans="1:6">
      <c r="A1965" s="60">
        <v>196000</v>
      </c>
      <c r="B1965" s="60">
        <f t="shared" si="151"/>
        <v>4427189</v>
      </c>
      <c r="C1965" s="60">
        <f t="shared" si="154"/>
        <v>4427189</v>
      </c>
      <c r="D1965" s="61">
        <f t="shared" si="150"/>
        <v>1</v>
      </c>
      <c r="E1965" s="64">
        <f t="shared" si="152"/>
        <v>442.71887242357309</v>
      </c>
      <c r="F1965" s="62" t="str">
        <f t="shared" si="153"/>
        <v/>
      </c>
    </row>
    <row r="1966" spans="1:6">
      <c r="A1966" s="60">
        <v>196100</v>
      </c>
      <c r="B1966" s="60">
        <f t="shared" si="151"/>
        <v>4428318</v>
      </c>
      <c r="C1966" s="60">
        <f t="shared" si="154"/>
        <v>4428318</v>
      </c>
      <c r="D1966" s="61">
        <f t="shared" si="150"/>
        <v>1</v>
      </c>
      <c r="E1966" s="64">
        <f t="shared" si="152"/>
        <v>442.83179650969055</v>
      </c>
      <c r="F1966" s="62" t="str">
        <f t="shared" si="153"/>
        <v/>
      </c>
    </row>
    <row r="1967" spans="1:6">
      <c r="A1967" s="60">
        <v>196200</v>
      </c>
      <c r="B1967" s="60">
        <f t="shared" si="151"/>
        <v>4429447</v>
      </c>
      <c r="C1967" s="60">
        <f t="shared" si="154"/>
        <v>4429447</v>
      </c>
      <c r="D1967" s="61">
        <f t="shared" si="150"/>
        <v>1</v>
      </c>
      <c r="E1967" s="64">
        <f t="shared" si="152"/>
        <v>442.94469180700202</v>
      </c>
      <c r="F1967" s="62" t="str">
        <f t="shared" si="153"/>
        <v/>
      </c>
    </row>
    <row r="1968" spans="1:6">
      <c r="A1968" s="60">
        <v>196300</v>
      </c>
      <c r="B1968" s="60">
        <f t="shared" si="151"/>
        <v>4430576</v>
      </c>
      <c r="C1968" s="60">
        <f t="shared" si="154"/>
        <v>4430576</v>
      </c>
      <c r="D1968" s="61">
        <f t="shared" si="150"/>
        <v>1</v>
      </c>
      <c r="E1968" s="64">
        <f t="shared" si="152"/>
        <v>443.05755833751442</v>
      </c>
      <c r="F1968" s="62" t="str">
        <f t="shared" si="153"/>
        <v/>
      </c>
    </row>
    <row r="1969" spans="1:6">
      <c r="A1969" s="60">
        <v>196400</v>
      </c>
      <c r="B1969" s="60">
        <f t="shared" si="151"/>
        <v>4431704</v>
      </c>
      <c r="C1969" s="60">
        <f t="shared" si="154"/>
        <v>4431704</v>
      </c>
      <c r="D1969" s="61">
        <f t="shared" si="150"/>
        <v>1</v>
      </c>
      <c r="E1969" s="64">
        <f t="shared" si="152"/>
        <v>443.17039612320679</v>
      </c>
      <c r="F1969" s="62" t="str">
        <f t="shared" si="153"/>
        <v/>
      </c>
    </row>
    <row r="1970" spans="1:6">
      <c r="A1970" s="60">
        <v>196500</v>
      </c>
      <c r="B1970" s="60">
        <f t="shared" si="151"/>
        <v>4432832</v>
      </c>
      <c r="C1970" s="60">
        <f t="shared" si="154"/>
        <v>4432832</v>
      </c>
      <c r="D1970" s="61">
        <f t="shared" si="150"/>
        <v>1</v>
      </c>
      <c r="E1970" s="64">
        <f t="shared" si="152"/>
        <v>443.28320518603005</v>
      </c>
      <c r="F1970" s="62" t="str">
        <f t="shared" si="153"/>
        <v/>
      </c>
    </row>
    <row r="1971" spans="1:6">
      <c r="A1971" s="60">
        <v>196600</v>
      </c>
      <c r="B1971" s="60">
        <f t="shared" si="151"/>
        <v>4433960</v>
      </c>
      <c r="C1971" s="60">
        <f t="shared" si="154"/>
        <v>4433960</v>
      </c>
      <c r="D1971" s="61">
        <f t="shared" si="150"/>
        <v>1</v>
      </c>
      <c r="E1971" s="64">
        <f t="shared" si="152"/>
        <v>443.39598554790729</v>
      </c>
      <c r="F1971" s="62" t="str">
        <f t="shared" si="153"/>
        <v/>
      </c>
    </row>
    <row r="1972" spans="1:6">
      <c r="A1972" s="60">
        <v>196700</v>
      </c>
      <c r="B1972" s="60">
        <f t="shared" si="151"/>
        <v>4435087</v>
      </c>
      <c r="C1972" s="60">
        <f t="shared" si="154"/>
        <v>4435087</v>
      </c>
      <c r="D1972" s="61">
        <f t="shared" si="150"/>
        <v>1</v>
      </c>
      <c r="E1972" s="64">
        <f t="shared" si="152"/>
        <v>443.50873723073369</v>
      </c>
      <c r="F1972" s="62" t="str">
        <f t="shared" si="153"/>
        <v/>
      </c>
    </row>
    <row r="1973" spans="1:6">
      <c r="A1973" s="60">
        <v>196800</v>
      </c>
      <c r="B1973" s="60">
        <f t="shared" si="151"/>
        <v>4436215</v>
      </c>
      <c r="C1973" s="60">
        <f t="shared" si="154"/>
        <v>4436215</v>
      </c>
      <c r="D1973" s="61">
        <f t="shared" si="150"/>
        <v>1</v>
      </c>
      <c r="E1973" s="64">
        <f t="shared" si="152"/>
        <v>443.62146025637668</v>
      </c>
      <c r="F1973" s="62" t="str">
        <f t="shared" si="153"/>
        <v/>
      </c>
    </row>
    <row r="1974" spans="1:6">
      <c r="A1974" s="60">
        <v>196900</v>
      </c>
      <c r="B1974" s="60">
        <f t="shared" si="151"/>
        <v>4437342</v>
      </c>
      <c r="C1974" s="60">
        <f t="shared" si="154"/>
        <v>4437342</v>
      </c>
      <c r="D1974" s="61">
        <f t="shared" si="150"/>
        <v>1</v>
      </c>
      <c r="E1974" s="64">
        <f t="shared" si="152"/>
        <v>443.73415464667579</v>
      </c>
      <c r="F1974" s="62" t="str">
        <f t="shared" si="153"/>
        <v/>
      </c>
    </row>
    <row r="1975" spans="1:6">
      <c r="A1975" s="60">
        <v>197000</v>
      </c>
      <c r="B1975" s="60">
        <f t="shared" si="151"/>
        <v>4438468</v>
      </c>
      <c r="C1975" s="60">
        <f t="shared" si="154"/>
        <v>4438468</v>
      </c>
      <c r="D1975" s="61">
        <f t="shared" si="150"/>
        <v>1</v>
      </c>
      <c r="E1975" s="64">
        <f t="shared" si="152"/>
        <v>443.84682042344292</v>
      </c>
      <c r="F1975" s="62" t="str">
        <f t="shared" si="153"/>
        <v/>
      </c>
    </row>
    <row r="1976" spans="1:6">
      <c r="A1976" s="60">
        <v>197100</v>
      </c>
      <c r="B1976" s="60">
        <f t="shared" si="151"/>
        <v>4439595</v>
      </c>
      <c r="C1976" s="60">
        <f t="shared" si="154"/>
        <v>4439595</v>
      </c>
      <c r="D1976" s="61">
        <f t="shared" si="150"/>
        <v>1</v>
      </c>
      <c r="E1976" s="64">
        <f t="shared" si="152"/>
        <v>443.95945760846229</v>
      </c>
      <c r="F1976" s="62" t="str">
        <f t="shared" si="153"/>
        <v/>
      </c>
    </row>
    <row r="1977" spans="1:6">
      <c r="A1977" s="60">
        <v>197200</v>
      </c>
      <c r="B1977" s="60">
        <f t="shared" si="151"/>
        <v>4440721</v>
      </c>
      <c r="C1977" s="60">
        <f t="shared" si="154"/>
        <v>4440721</v>
      </c>
      <c r="D1977" s="61">
        <f t="shared" si="150"/>
        <v>1</v>
      </c>
      <c r="E1977" s="64">
        <f t="shared" si="152"/>
        <v>444.07206622349037</v>
      </c>
      <c r="F1977" s="62" t="str">
        <f t="shared" si="153"/>
        <v/>
      </c>
    </row>
    <row r="1978" spans="1:6">
      <c r="A1978" s="60">
        <v>197300</v>
      </c>
      <c r="B1978" s="60">
        <f t="shared" si="151"/>
        <v>4441846</v>
      </c>
      <c r="C1978" s="60">
        <f t="shared" si="154"/>
        <v>4441846</v>
      </c>
      <c r="D1978" s="61">
        <f t="shared" si="150"/>
        <v>1</v>
      </c>
      <c r="E1978" s="64">
        <f t="shared" si="152"/>
        <v>444.18464629025618</v>
      </c>
      <c r="F1978" s="62" t="str">
        <f t="shared" si="153"/>
        <v/>
      </c>
    </row>
    <row r="1979" spans="1:6">
      <c r="A1979" s="60">
        <v>197400</v>
      </c>
      <c r="B1979" s="60">
        <f t="shared" si="151"/>
        <v>4442972</v>
      </c>
      <c r="C1979" s="60">
        <f t="shared" si="154"/>
        <v>4442972</v>
      </c>
      <c r="D1979" s="61">
        <f t="shared" si="150"/>
        <v>1</v>
      </c>
      <c r="E1979" s="64">
        <f t="shared" si="152"/>
        <v>444.29719783046124</v>
      </c>
      <c r="F1979" s="62" t="str">
        <f t="shared" si="153"/>
        <v/>
      </c>
    </row>
    <row r="1980" spans="1:6">
      <c r="A1980" s="60">
        <v>197500</v>
      </c>
      <c r="B1980" s="60">
        <f t="shared" si="151"/>
        <v>4444097</v>
      </c>
      <c r="C1980" s="60">
        <f t="shared" si="154"/>
        <v>4444097</v>
      </c>
      <c r="D1980" s="61">
        <f t="shared" si="150"/>
        <v>1</v>
      </c>
      <c r="E1980" s="64">
        <f t="shared" si="152"/>
        <v>444.40972086577943</v>
      </c>
      <c r="F1980" s="62" t="str">
        <f t="shared" si="153"/>
        <v/>
      </c>
    </row>
    <row r="1981" spans="1:6">
      <c r="A1981" s="60">
        <v>197600</v>
      </c>
      <c r="B1981" s="60">
        <f t="shared" si="151"/>
        <v>4445222</v>
      </c>
      <c r="C1981" s="60">
        <f t="shared" si="154"/>
        <v>4445222</v>
      </c>
      <c r="D1981" s="61">
        <f t="shared" si="150"/>
        <v>1</v>
      </c>
      <c r="E1981" s="64">
        <f t="shared" si="152"/>
        <v>444.52221541785735</v>
      </c>
      <c r="F1981" s="62" t="str">
        <f t="shared" si="153"/>
        <v/>
      </c>
    </row>
    <row r="1982" spans="1:6">
      <c r="A1982" s="60">
        <v>197700</v>
      </c>
      <c r="B1982" s="60">
        <f t="shared" si="151"/>
        <v>4446347</v>
      </c>
      <c r="C1982" s="60">
        <f t="shared" si="154"/>
        <v>4446347</v>
      </c>
      <c r="D1982" s="61">
        <f t="shared" si="150"/>
        <v>1</v>
      </c>
      <c r="E1982" s="64">
        <f t="shared" si="152"/>
        <v>444.6346815083142</v>
      </c>
      <c r="F1982" s="62" t="str">
        <f t="shared" si="153"/>
        <v/>
      </c>
    </row>
    <row r="1983" spans="1:6">
      <c r="A1983" s="60">
        <v>197800</v>
      </c>
      <c r="B1983" s="60">
        <f t="shared" si="151"/>
        <v>4447471</v>
      </c>
      <c r="C1983" s="60">
        <f t="shared" si="154"/>
        <v>4447471</v>
      </c>
      <c r="D1983" s="61">
        <f t="shared" si="150"/>
        <v>1</v>
      </c>
      <c r="E1983" s="64">
        <f t="shared" si="152"/>
        <v>444.74711915874173</v>
      </c>
      <c r="F1983" s="62" t="str">
        <f t="shared" si="153"/>
        <v/>
      </c>
    </row>
    <row r="1984" spans="1:6">
      <c r="A1984" s="60">
        <v>197900</v>
      </c>
      <c r="B1984" s="60">
        <f t="shared" si="151"/>
        <v>4448595</v>
      </c>
      <c r="C1984" s="60">
        <f t="shared" si="154"/>
        <v>4448595</v>
      </c>
      <c r="D1984" s="61">
        <f t="shared" si="150"/>
        <v>1</v>
      </c>
      <c r="E1984" s="64">
        <f t="shared" si="152"/>
        <v>444.8595283907045</v>
      </c>
      <c r="F1984" s="62" t="str">
        <f t="shared" si="153"/>
        <v/>
      </c>
    </row>
    <row r="1985" spans="1:6">
      <c r="A1985" s="60">
        <v>198000</v>
      </c>
      <c r="B1985" s="60">
        <f t="shared" si="151"/>
        <v>4449719</v>
      </c>
      <c r="C1985" s="60">
        <f t="shared" si="154"/>
        <v>4449719</v>
      </c>
      <c r="D1985" s="61">
        <f t="shared" si="150"/>
        <v>1</v>
      </c>
      <c r="E1985" s="64">
        <f t="shared" si="152"/>
        <v>444.97190922573975</v>
      </c>
      <c r="F1985" s="62" t="str">
        <f t="shared" si="153"/>
        <v/>
      </c>
    </row>
    <row r="1986" spans="1:6">
      <c r="A1986" s="60">
        <v>198100</v>
      </c>
      <c r="B1986" s="60">
        <f t="shared" si="151"/>
        <v>4450843</v>
      </c>
      <c r="C1986" s="60">
        <f t="shared" si="154"/>
        <v>4450843</v>
      </c>
      <c r="D1986" s="61">
        <f t="shared" si="150"/>
        <v>1</v>
      </c>
      <c r="E1986" s="64">
        <f t="shared" si="152"/>
        <v>445.08426168535772</v>
      </c>
      <c r="F1986" s="62" t="str">
        <f t="shared" si="153"/>
        <v/>
      </c>
    </row>
    <row r="1987" spans="1:6">
      <c r="A1987" s="60">
        <v>198200</v>
      </c>
      <c r="B1987" s="60">
        <f t="shared" si="151"/>
        <v>4451966</v>
      </c>
      <c r="C1987" s="60">
        <f t="shared" si="154"/>
        <v>4451966</v>
      </c>
      <c r="D1987" s="61">
        <f t="shared" si="150"/>
        <v>1</v>
      </c>
      <c r="E1987" s="64">
        <f t="shared" si="152"/>
        <v>445.19658579104129</v>
      </c>
      <c r="F1987" s="62" t="str">
        <f t="shared" si="153"/>
        <v/>
      </c>
    </row>
    <row r="1988" spans="1:6">
      <c r="A1988" s="60">
        <v>198300</v>
      </c>
      <c r="B1988" s="60">
        <f t="shared" si="151"/>
        <v>4453089</v>
      </c>
      <c r="C1988" s="60">
        <f t="shared" si="154"/>
        <v>4453089</v>
      </c>
      <c r="D1988" s="61">
        <f t="shared" si="150"/>
        <v>1</v>
      </c>
      <c r="E1988" s="64">
        <f t="shared" si="152"/>
        <v>445.30888156424635</v>
      </c>
      <c r="F1988" s="62" t="str">
        <f t="shared" si="153"/>
        <v/>
      </c>
    </row>
    <row r="1989" spans="1:6">
      <c r="A1989" s="60">
        <v>198400</v>
      </c>
      <c r="B1989" s="60">
        <f t="shared" si="151"/>
        <v>4454211</v>
      </c>
      <c r="C1989" s="60">
        <f t="shared" si="154"/>
        <v>4454211</v>
      </c>
      <c r="D1989" s="61">
        <f t="shared" ref="D1989:D2052" si="155">(A1989-INDEX(兵力区间,MATCH(A1989,兵力区间,1)))/(INDEX(兵力区间,MATCH(A1989,兵力区间,1)+1)-INDEX(兵力区间,MATCH(A1989,兵力区间,1)))*((INDEX(兵力调节,MATCH(A1989,兵力区间,1)+1,2)-INDEX(兵力调节,MATCH(A1989,兵力区间,1),2)))+INDEX(兵力调节,MATCH(A1989,兵力区间,1),2)</f>
        <v>1</v>
      </c>
      <c r="E1989" s="64">
        <f t="shared" si="152"/>
        <v>445.42114902640174</v>
      </c>
      <c r="F1989" s="62" t="str">
        <f t="shared" si="153"/>
        <v/>
      </c>
    </row>
    <row r="1990" spans="1:6">
      <c r="A1990" s="60">
        <v>198500</v>
      </c>
      <c r="B1990" s="60">
        <f t="shared" si="151"/>
        <v>4455334</v>
      </c>
      <c r="C1990" s="60">
        <f t="shared" si="154"/>
        <v>4455334</v>
      </c>
      <c r="D1990" s="61">
        <f t="shared" si="155"/>
        <v>1</v>
      </c>
      <c r="E1990" s="64">
        <f t="shared" si="152"/>
        <v>445.53338819890928</v>
      </c>
      <c r="F1990" s="62" t="str">
        <f t="shared" si="153"/>
        <v/>
      </c>
    </row>
    <row r="1991" spans="1:6">
      <c r="A1991" s="60">
        <v>198600</v>
      </c>
      <c r="B1991" s="60">
        <f t="shared" ref="B1991:B2054" si="156">ROUND(D1991*E1991*10000,0)</f>
        <v>4456456</v>
      </c>
      <c r="C1991" s="60">
        <f t="shared" si="154"/>
        <v>4456456</v>
      </c>
      <c r="D1991" s="61">
        <f t="shared" si="155"/>
        <v>1</v>
      </c>
      <c r="E1991" s="64">
        <f t="shared" ref="E1991:E2054" si="157">A1991^0.5</f>
        <v>445.64559910314387</v>
      </c>
      <c r="F1991" s="62" t="str">
        <f t="shared" si="153"/>
        <v/>
      </c>
    </row>
    <row r="1992" spans="1:6">
      <c r="A1992" s="60">
        <v>198700</v>
      </c>
      <c r="B1992" s="60">
        <f t="shared" si="156"/>
        <v>4457578</v>
      </c>
      <c r="C1992" s="60">
        <f t="shared" si="154"/>
        <v>4457578</v>
      </c>
      <c r="D1992" s="61">
        <f t="shared" si="155"/>
        <v>1</v>
      </c>
      <c r="E1992" s="64">
        <f t="shared" si="157"/>
        <v>445.75778176045338</v>
      </c>
      <c r="F1992" s="62" t="str">
        <f t="shared" ref="F1992:F2055" si="158">IF(B1992&lt;B1991,1,"")</f>
        <v/>
      </c>
    </row>
    <row r="1993" spans="1:6">
      <c r="A1993" s="60">
        <v>198800</v>
      </c>
      <c r="B1993" s="60">
        <f t="shared" si="156"/>
        <v>4458699</v>
      </c>
      <c r="C1993" s="60">
        <f t="shared" si="154"/>
        <v>4458699</v>
      </c>
      <c r="D1993" s="61">
        <f t="shared" si="155"/>
        <v>1</v>
      </c>
      <c r="E1993" s="64">
        <f t="shared" si="157"/>
        <v>445.86993619215906</v>
      </c>
      <c r="F1993" s="62" t="str">
        <f t="shared" si="158"/>
        <v/>
      </c>
    </row>
    <row r="1994" spans="1:6">
      <c r="A1994" s="60">
        <v>198900</v>
      </c>
      <c r="B1994" s="60">
        <f t="shared" si="156"/>
        <v>4459821</v>
      </c>
      <c r="C1994" s="60">
        <f t="shared" si="154"/>
        <v>4459821</v>
      </c>
      <c r="D1994" s="61">
        <f t="shared" si="155"/>
        <v>1</v>
      </c>
      <c r="E1994" s="64">
        <f t="shared" si="157"/>
        <v>445.98206241955518</v>
      </c>
      <c r="F1994" s="62" t="str">
        <f t="shared" si="158"/>
        <v/>
      </c>
    </row>
    <row r="1995" spans="1:6">
      <c r="A1995" s="60">
        <v>199000</v>
      </c>
      <c r="B1995" s="60">
        <f t="shared" si="156"/>
        <v>4460942</v>
      </c>
      <c r="C1995" s="60">
        <f t="shared" ref="C1995:C2058" si="159">ROUND(D1995*E1995*10000,0)</f>
        <v>4460942</v>
      </c>
      <c r="D1995" s="61">
        <f t="shared" si="155"/>
        <v>1</v>
      </c>
      <c r="E1995" s="64">
        <f t="shared" si="157"/>
        <v>446.09416046390925</v>
      </c>
      <c r="F1995" s="62" t="str">
        <f t="shared" si="158"/>
        <v/>
      </c>
    </row>
    <row r="1996" spans="1:6">
      <c r="A1996" s="60">
        <v>199100</v>
      </c>
      <c r="B1996" s="60">
        <f t="shared" si="156"/>
        <v>4462062</v>
      </c>
      <c r="C1996" s="60">
        <f t="shared" si="159"/>
        <v>4462062</v>
      </c>
      <c r="D1996" s="61">
        <f t="shared" si="155"/>
        <v>1</v>
      </c>
      <c r="E1996" s="64">
        <f t="shared" si="157"/>
        <v>446.20623034646212</v>
      </c>
      <c r="F1996" s="62" t="str">
        <f t="shared" si="158"/>
        <v/>
      </c>
    </row>
    <row r="1997" spans="1:6">
      <c r="A1997" s="60">
        <v>199200</v>
      </c>
      <c r="B1997" s="60">
        <f t="shared" si="156"/>
        <v>4463183</v>
      </c>
      <c r="C1997" s="60">
        <f t="shared" si="159"/>
        <v>4463183</v>
      </c>
      <c r="D1997" s="61">
        <f t="shared" si="155"/>
        <v>1</v>
      </c>
      <c r="E1997" s="64">
        <f t="shared" si="157"/>
        <v>446.31827208842793</v>
      </c>
      <c r="F1997" s="62" t="str">
        <f t="shared" si="158"/>
        <v/>
      </c>
    </row>
    <row r="1998" spans="1:6">
      <c r="A1998" s="60">
        <v>199300</v>
      </c>
      <c r="B1998" s="60">
        <f t="shared" si="156"/>
        <v>4464303</v>
      </c>
      <c r="C1998" s="60">
        <f t="shared" si="159"/>
        <v>4464303</v>
      </c>
      <c r="D1998" s="61">
        <f t="shared" si="155"/>
        <v>1</v>
      </c>
      <c r="E1998" s="64">
        <f t="shared" si="157"/>
        <v>446.43028571099433</v>
      </c>
      <c r="F1998" s="62" t="str">
        <f t="shared" si="158"/>
        <v/>
      </c>
    </row>
    <row r="1999" spans="1:6">
      <c r="A1999" s="60">
        <v>199400</v>
      </c>
      <c r="B1999" s="60">
        <f t="shared" si="156"/>
        <v>4465423</v>
      </c>
      <c r="C1999" s="60">
        <f t="shared" si="159"/>
        <v>4465423</v>
      </c>
      <c r="D1999" s="61">
        <f t="shared" si="155"/>
        <v>1</v>
      </c>
      <c r="E1999" s="64">
        <f t="shared" si="157"/>
        <v>446.54227123532212</v>
      </c>
      <c r="F1999" s="62" t="str">
        <f t="shared" si="158"/>
        <v/>
      </c>
    </row>
    <row r="2000" spans="1:6">
      <c r="A2000" s="60">
        <v>199500</v>
      </c>
      <c r="B2000" s="60">
        <f t="shared" si="156"/>
        <v>4466542</v>
      </c>
      <c r="C2000" s="60">
        <f t="shared" si="159"/>
        <v>4466542</v>
      </c>
      <c r="D2000" s="61">
        <f t="shared" si="155"/>
        <v>1</v>
      </c>
      <c r="E2000" s="64">
        <f t="shared" si="157"/>
        <v>446.65422868254586</v>
      </c>
      <c r="F2000" s="62" t="str">
        <f t="shared" si="158"/>
        <v/>
      </c>
    </row>
    <row r="2001" spans="1:6">
      <c r="A2001" s="60">
        <v>199600</v>
      </c>
      <c r="B2001" s="60">
        <f t="shared" si="156"/>
        <v>4467662</v>
      </c>
      <c r="C2001" s="60">
        <f t="shared" si="159"/>
        <v>4467662</v>
      </c>
      <c r="D2001" s="61">
        <f t="shared" si="155"/>
        <v>1</v>
      </c>
      <c r="E2001" s="64">
        <f t="shared" si="157"/>
        <v>446.76615807377351</v>
      </c>
      <c r="F2001" s="62" t="str">
        <f t="shared" si="158"/>
        <v/>
      </c>
    </row>
    <row r="2002" spans="1:6">
      <c r="A2002" s="60">
        <v>199700</v>
      </c>
      <c r="B2002" s="60">
        <f t="shared" si="156"/>
        <v>4468781</v>
      </c>
      <c r="C2002" s="60">
        <f t="shared" si="159"/>
        <v>4468781</v>
      </c>
      <c r="D2002" s="61">
        <f t="shared" si="155"/>
        <v>1</v>
      </c>
      <c r="E2002" s="64">
        <f t="shared" si="157"/>
        <v>446.87805943008658</v>
      </c>
      <c r="F2002" s="62" t="str">
        <f t="shared" si="158"/>
        <v/>
      </c>
    </row>
    <row r="2003" spans="1:6">
      <c r="A2003" s="60">
        <v>199800</v>
      </c>
      <c r="B2003" s="60">
        <f t="shared" si="156"/>
        <v>4469899</v>
      </c>
      <c r="C2003" s="60">
        <f t="shared" si="159"/>
        <v>4469899</v>
      </c>
      <c r="D2003" s="61">
        <f t="shared" si="155"/>
        <v>1</v>
      </c>
      <c r="E2003" s="64">
        <f t="shared" si="157"/>
        <v>446.98993277254021</v>
      </c>
      <c r="F2003" s="62" t="str">
        <f t="shared" si="158"/>
        <v/>
      </c>
    </row>
    <row r="2004" spans="1:6">
      <c r="A2004" s="60">
        <v>199900</v>
      </c>
      <c r="B2004" s="60">
        <f t="shared" si="156"/>
        <v>4471018</v>
      </c>
      <c r="C2004" s="60">
        <f t="shared" si="159"/>
        <v>4471018</v>
      </c>
      <c r="D2004" s="61">
        <f t="shared" si="155"/>
        <v>1</v>
      </c>
      <c r="E2004" s="64">
        <f t="shared" si="157"/>
        <v>447.10177812216313</v>
      </c>
      <c r="F2004" s="62" t="str">
        <f t="shared" si="158"/>
        <v/>
      </c>
    </row>
    <row r="2005" spans="1:6">
      <c r="A2005" s="60">
        <v>200000</v>
      </c>
      <c r="B2005" s="60">
        <f t="shared" si="156"/>
        <v>4472136</v>
      </c>
      <c r="C2005" s="60">
        <f t="shared" si="159"/>
        <v>4472136</v>
      </c>
      <c r="D2005" s="61">
        <f t="shared" si="155"/>
        <v>1</v>
      </c>
      <c r="E2005" s="64">
        <f t="shared" si="157"/>
        <v>447.21359549995793</v>
      </c>
      <c r="F2005" s="62" t="str">
        <f t="shared" si="158"/>
        <v/>
      </c>
    </row>
    <row r="2006" spans="1:6">
      <c r="A2006" s="60">
        <v>200100</v>
      </c>
      <c r="B2006" s="60">
        <f t="shared" si="156"/>
        <v>4473254</v>
      </c>
      <c r="C2006" s="60">
        <f t="shared" si="159"/>
        <v>4473254</v>
      </c>
      <c r="D2006" s="61">
        <f t="shared" si="155"/>
        <v>1</v>
      </c>
      <c r="E2006" s="64">
        <f t="shared" si="157"/>
        <v>447.32538492690082</v>
      </c>
      <c r="F2006" s="62" t="str">
        <f t="shared" si="158"/>
        <v/>
      </c>
    </row>
    <row r="2007" spans="1:6">
      <c r="A2007" s="60">
        <v>200200</v>
      </c>
      <c r="B2007" s="60">
        <f t="shared" si="156"/>
        <v>4474371</v>
      </c>
      <c r="C2007" s="60">
        <f t="shared" si="159"/>
        <v>4474371</v>
      </c>
      <c r="D2007" s="61">
        <f t="shared" si="155"/>
        <v>1</v>
      </c>
      <c r="E2007" s="64">
        <f t="shared" si="157"/>
        <v>447.4371464239419</v>
      </c>
      <c r="F2007" s="62" t="str">
        <f t="shared" si="158"/>
        <v/>
      </c>
    </row>
    <row r="2008" spans="1:6">
      <c r="A2008" s="60">
        <v>200300</v>
      </c>
      <c r="B2008" s="60">
        <f t="shared" si="156"/>
        <v>4475489</v>
      </c>
      <c r="C2008" s="60">
        <f t="shared" si="159"/>
        <v>4475489</v>
      </c>
      <c r="D2008" s="61">
        <f t="shared" si="155"/>
        <v>1</v>
      </c>
      <c r="E2008" s="64">
        <f t="shared" si="157"/>
        <v>447.54888001200493</v>
      </c>
      <c r="F2008" s="62" t="str">
        <f t="shared" si="158"/>
        <v/>
      </c>
    </row>
    <row r="2009" spans="1:6">
      <c r="A2009" s="60">
        <v>200400</v>
      </c>
      <c r="B2009" s="60">
        <f t="shared" si="156"/>
        <v>4476606</v>
      </c>
      <c r="C2009" s="60">
        <f t="shared" si="159"/>
        <v>4476606</v>
      </c>
      <c r="D2009" s="61">
        <f t="shared" si="155"/>
        <v>1</v>
      </c>
      <c r="E2009" s="64">
        <f t="shared" si="157"/>
        <v>447.66058571198784</v>
      </c>
      <c r="F2009" s="62" t="str">
        <f t="shared" si="158"/>
        <v/>
      </c>
    </row>
    <row r="2010" spans="1:6">
      <c r="A2010" s="60">
        <v>200500</v>
      </c>
      <c r="B2010" s="60">
        <f t="shared" si="156"/>
        <v>4477723</v>
      </c>
      <c r="C2010" s="60">
        <f t="shared" si="159"/>
        <v>4477723</v>
      </c>
      <c r="D2010" s="61">
        <f t="shared" si="155"/>
        <v>1</v>
      </c>
      <c r="E2010" s="64">
        <f t="shared" si="157"/>
        <v>447.77226354476221</v>
      </c>
      <c r="F2010" s="62" t="str">
        <f t="shared" si="158"/>
        <v/>
      </c>
    </row>
    <row r="2011" spans="1:6">
      <c r="A2011" s="60">
        <v>200600</v>
      </c>
      <c r="B2011" s="60">
        <f t="shared" si="156"/>
        <v>4478839</v>
      </c>
      <c r="C2011" s="60">
        <f t="shared" si="159"/>
        <v>4478839</v>
      </c>
      <c r="D2011" s="61">
        <f t="shared" si="155"/>
        <v>1</v>
      </c>
      <c r="E2011" s="64">
        <f t="shared" si="157"/>
        <v>447.88391353117385</v>
      </c>
      <c r="F2011" s="62" t="str">
        <f t="shared" si="158"/>
        <v/>
      </c>
    </row>
    <row r="2012" spans="1:6">
      <c r="A2012" s="60">
        <v>200700</v>
      </c>
      <c r="B2012" s="60">
        <f t="shared" si="156"/>
        <v>4479955</v>
      </c>
      <c r="C2012" s="60">
        <f t="shared" si="159"/>
        <v>4479955</v>
      </c>
      <c r="D2012" s="61">
        <f t="shared" si="155"/>
        <v>1</v>
      </c>
      <c r="E2012" s="64">
        <f t="shared" si="157"/>
        <v>447.99553569204238</v>
      </c>
      <c r="F2012" s="62" t="str">
        <f t="shared" si="158"/>
        <v/>
      </c>
    </row>
    <row r="2013" spans="1:6">
      <c r="A2013" s="60">
        <v>200800</v>
      </c>
      <c r="B2013" s="60">
        <f t="shared" si="156"/>
        <v>4481071</v>
      </c>
      <c r="C2013" s="60">
        <f t="shared" si="159"/>
        <v>4481071</v>
      </c>
      <c r="D2013" s="61">
        <f t="shared" si="155"/>
        <v>1</v>
      </c>
      <c r="E2013" s="64">
        <f t="shared" si="157"/>
        <v>448.10713004816159</v>
      </c>
      <c r="F2013" s="62" t="str">
        <f t="shared" si="158"/>
        <v/>
      </c>
    </row>
    <row r="2014" spans="1:6">
      <c r="A2014" s="60">
        <v>200900</v>
      </c>
      <c r="B2014" s="60">
        <f t="shared" si="156"/>
        <v>4482187</v>
      </c>
      <c r="C2014" s="60">
        <f t="shared" si="159"/>
        <v>4482187</v>
      </c>
      <c r="D2014" s="61">
        <f t="shared" si="155"/>
        <v>1</v>
      </c>
      <c r="E2014" s="64">
        <f t="shared" si="157"/>
        <v>448.2186966202994</v>
      </c>
      <c r="F2014" s="62" t="str">
        <f t="shared" si="158"/>
        <v/>
      </c>
    </row>
    <row r="2015" spans="1:6">
      <c r="A2015" s="60">
        <v>201000</v>
      </c>
      <c r="B2015" s="60">
        <f t="shared" si="156"/>
        <v>4483302</v>
      </c>
      <c r="C2015" s="60">
        <f t="shared" si="159"/>
        <v>4483302</v>
      </c>
      <c r="D2015" s="61">
        <f t="shared" si="155"/>
        <v>1</v>
      </c>
      <c r="E2015" s="64">
        <f t="shared" si="157"/>
        <v>448.3302354291979</v>
      </c>
      <c r="F2015" s="62" t="str">
        <f t="shared" si="158"/>
        <v/>
      </c>
    </row>
    <row r="2016" spans="1:6">
      <c r="A2016" s="60">
        <v>201100</v>
      </c>
      <c r="B2016" s="60">
        <f t="shared" si="156"/>
        <v>4484417</v>
      </c>
      <c r="C2016" s="60">
        <f t="shared" si="159"/>
        <v>4484417</v>
      </c>
      <c r="D2016" s="61">
        <f t="shared" si="155"/>
        <v>1</v>
      </c>
      <c r="E2016" s="64">
        <f t="shared" si="157"/>
        <v>448.44174649557328</v>
      </c>
      <c r="F2016" s="62" t="str">
        <f t="shared" si="158"/>
        <v/>
      </c>
    </row>
    <row r="2017" spans="1:6">
      <c r="A2017" s="60">
        <v>201200</v>
      </c>
      <c r="B2017" s="60">
        <f t="shared" si="156"/>
        <v>4485532</v>
      </c>
      <c r="C2017" s="60">
        <f t="shared" si="159"/>
        <v>4485532</v>
      </c>
      <c r="D2017" s="61">
        <f t="shared" si="155"/>
        <v>1</v>
      </c>
      <c r="E2017" s="64">
        <f t="shared" si="157"/>
        <v>448.5532298401161</v>
      </c>
      <c r="F2017" s="62" t="str">
        <f t="shared" si="158"/>
        <v/>
      </c>
    </row>
    <row r="2018" spans="1:6">
      <c r="A2018" s="60">
        <v>201300</v>
      </c>
      <c r="B2018" s="60">
        <f t="shared" si="156"/>
        <v>4486647</v>
      </c>
      <c r="C2018" s="60">
        <f t="shared" si="159"/>
        <v>4486647</v>
      </c>
      <c r="D2018" s="61">
        <f t="shared" si="155"/>
        <v>1</v>
      </c>
      <c r="E2018" s="64">
        <f t="shared" si="157"/>
        <v>448.6646854834911</v>
      </c>
      <c r="F2018" s="62" t="str">
        <f t="shared" si="158"/>
        <v/>
      </c>
    </row>
    <row r="2019" spans="1:6">
      <c r="A2019" s="60">
        <v>201400</v>
      </c>
      <c r="B2019" s="60">
        <f t="shared" si="156"/>
        <v>4487761</v>
      </c>
      <c r="C2019" s="60">
        <f t="shared" si="159"/>
        <v>4487761</v>
      </c>
      <c r="D2019" s="61">
        <f t="shared" si="155"/>
        <v>1</v>
      </c>
      <c r="E2019" s="64">
        <f t="shared" si="157"/>
        <v>448.77611344633749</v>
      </c>
      <c r="F2019" s="62" t="str">
        <f t="shared" si="158"/>
        <v/>
      </c>
    </row>
    <row r="2020" spans="1:6">
      <c r="A2020" s="60">
        <v>201500</v>
      </c>
      <c r="B2020" s="60">
        <f t="shared" si="156"/>
        <v>4488875</v>
      </c>
      <c r="C2020" s="60">
        <f t="shared" si="159"/>
        <v>4488875</v>
      </c>
      <c r="D2020" s="61">
        <f t="shared" si="155"/>
        <v>1</v>
      </c>
      <c r="E2020" s="64">
        <f t="shared" si="157"/>
        <v>448.88751374926881</v>
      </c>
      <c r="F2020" s="62" t="str">
        <f t="shared" si="158"/>
        <v/>
      </c>
    </row>
    <row r="2021" spans="1:6">
      <c r="A2021" s="60">
        <v>201600</v>
      </c>
      <c r="B2021" s="60">
        <f t="shared" si="156"/>
        <v>4489989</v>
      </c>
      <c r="C2021" s="60">
        <f t="shared" si="159"/>
        <v>4489989</v>
      </c>
      <c r="D2021" s="61">
        <f t="shared" si="155"/>
        <v>1</v>
      </c>
      <c r="E2021" s="64">
        <f t="shared" si="157"/>
        <v>448.99888641287299</v>
      </c>
      <c r="F2021" s="62" t="str">
        <f t="shared" si="158"/>
        <v/>
      </c>
    </row>
    <row r="2022" spans="1:6">
      <c r="A2022" s="60">
        <v>201700</v>
      </c>
      <c r="B2022" s="60">
        <f t="shared" si="156"/>
        <v>4491102</v>
      </c>
      <c r="C2022" s="60">
        <f t="shared" si="159"/>
        <v>4491102</v>
      </c>
      <c r="D2022" s="61">
        <f t="shared" si="155"/>
        <v>1</v>
      </c>
      <c r="E2022" s="64">
        <f t="shared" si="157"/>
        <v>449.11023145771242</v>
      </c>
      <c r="F2022" s="62" t="str">
        <f t="shared" si="158"/>
        <v/>
      </c>
    </row>
    <row r="2023" spans="1:6">
      <c r="A2023" s="60">
        <v>201800</v>
      </c>
      <c r="B2023" s="60">
        <f t="shared" si="156"/>
        <v>4492215</v>
      </c>
      <c r="C2023" s="60">
        <f t="shared" si="159"/>
        <v>4492215</v>
      </c>
      <c r="D2023" s="61">
        <f t="shared" si="155"/>
        <v>1</v>
      </c>
      <c r="E2023" s="64">
        <f t="shared" si="157"/>
        <v>449.22154890432404</v>
      </c>
      <c r="F2023" s="62" t="str">
        <f t="shared" si="158"/>
        <v/>
      </c>
    </row>
    <row r="2024" spans="1:6">
      <c r="A2024" s="60">
        <v>201900</v>
      </c>
      <c r="B2024" s="60">
        <f t="shared" si="156"/>
        <v>4493328</v>
      </c>
      <c r="C2024" s="60">
        <f t="shared" si="159"/>
        <v>4493328</v>
      </c>
      <c r="D2024" s="61">
        <f t="shared" si="155"/>
        <v>1</v>
      </c>
      <c r="E2024" s="64">
        <f t="shared" si="157"/>
        <v>449.33283877321941</v>
      </c>
      <c r="F2024" s="62" t="str">
        <f t="shared" si="158"/>
        <v/>
      </c>
    </row>
    <row r="2025" spans="1:6">
      <c r="A2025" s="60">
        <v>202000</v>
      </c>
      <c r="B2025" s="60">
        <f t="shared" si="156"/>
        <v>4494441</v>
      </c>
      <c r="C2025" s="60">
        <f t="shared" si="159"/>
        <v>4494441</v>
      </c>
      <c r="D2025" s="61">
        <f t="shared" si="155"/>
        <v>1</v>
      </c>
      <c r="E2025" s="64">
        <f t="shared" si="157"/>
        <v>449.44410108488466</v>
      </c>
      <c r="F2025" s="62" t="str">
        <f t="shared" si="158"/>
        <v/>
      </c>
    </row>
    <row r="2026" spans="1:6">
      <c r="A2026" s="60">
        <v>202100</v>
      </c>
      <c r="B2026" s="60">
        <f t="shared" si="156"/>
        <v>4495553</v>
      </c>
      <c r="C2026" s="60">
        <f t="shared" si="159"/>
        <v>4495553</v>
      </c>
      <c r="D2026" s="61">
        <f t="shared" si="155"/>
        <v>1</v>
      </c>
      <c r="E2026" s="64">
        <f t="shared" si="157"/>
        <v>449.55533585978043</v>
      </c>
      <c r="F2026" s="62" t="str">
        <f t="shared" si="158"/>
        <v/>
      </c>
    </row>
    <row r="2027" spans="1:6">
      <c r="A2027" s="60">
        <v>202200</v>
      </c>
      <c r="B2027" s="60">
        <f t="shared" si="156"/>
        <v>4496665</v>
      </c>
      <c r="C2027" s="60">
        <f t="shared" si="159"/>
        <v>4496665</v>
      </c>
      <c r="D2027" s="61">
        <f t="shared" si="155"/>
        <v>1</v>
      </c>
      <c r="E2027" s="64">
        <f t="shared" si="157"/>
        <v>449.6665431183423</v>
      </c>
      <c r="F2027" s="62" t="str">
        <f t="shared" si="158"/>
        <v/>
      </c>
    </row>
    <row r="2028" spans="1:6">
      <c r="A2028" s="60">
        <v>202300</v>
      </c>
      <c r="B2028" s="60">
        <f t="shared" si="156"/>
        <v>4497777</v>
      </c>
      <c r="C2028" s="60">
        <f t="shared" si="159"/>
        <v>4497777</v>
      </c>
      <c r="D2028" s="61">
        <f t="shared" si="155"/>
        <v>1</v>
      </c>
      <c r="E2028" s="64">
        <f t="shared" si="157"/>
        <v>449.77772288098038</v>
      </c>
      <c r="F2028" s="62" t="str">
        <f t="shared" si="158"/>
        <v/>
      </c>
    </row>
    <row r="2029" spans="1:6">
      <c r="A2029" s="60">
        <v>202400</v>
      </c>
      <c r="B2029" s="60">
        <f t="shared" si="156"/>
        <v>4498889</v>
      </c>
      <c r="C2029" s="60">
        <f t="shared" si="159"/>
        <v>4498889</v>
      </c>
      <c r="D2029" s="61">
        <f t="shared" si="155"/>
        <v>1</v>
      </c>
      <c r="E2029" s="64">
        <f t="shared" si="157"/>
        <v>449.88887516807972</v>
      </c>
      <c r="F2029" s="62" t="str">
        <f t="shared" si="158"/>
        <v/>
      </c>
    </row>
    <row r="2030" spans="1:6">
      <c r="A2030" s="60">
        <v>202500</v>
      </c>
      <c r="B2030" s="60">
        <f t="shared" si="156"/>
        <v>4500000</v>
      </c>
      <c r="C2030" s="60">
        <f t="shared" si="159"/>
        <v>4500000</v>
      </c>
      <c r="D2030" s="61">
        <f t="shared" si="155"/>
        <v>1</v>
      </c>
      <c r="E2030" s="64">
        <f t="shared" si="157"/>
        <v>450</v>
      </c>
      <c r="F2030" s="62" t="str">
        <f t="shared" si="158"/>
        <v/>
      </c>
    </row>
    <row r="2031" spans="1:6">
      <c r="A2031" s="60">
        <v>202600</v>
      </c>
      <c r="B2031" s="60">
        <f t="shared" si="156"/>
        <v>4501111</v>
      </c>
      <c r="C2031" s="60">
        <f t="shared" si="159"/>
        <v>4501111</v>
      </c>
      <c r="D2031" s="61">
        <f t="shared" si="155"/>
        <v>1</v>
      </c>
      <c r="E2031" s="64">
        <f t="shared" si="157"/>
        <v>450.11109739707598</v>
      </c>
      <c r="F2031" s="62" t="str">
        <f t="shared" si="158"/>
        <v/>
      </c>
    </row>
    <row r="2032" spans="1:6">
      <c r="A2032" s="60">
        <v>202700</v>
      </c>
      <c r="B2032" s="60">
        <f t="shared" si="156"/>
        <v>4502222</v>
      </c>
      <c r="C2032" s="60">
        <f t="shared" si="159"/>
        <v>4502222</v>
      </c>
      <c r="D2032" s="61">
        <f t="shared" si="155"/>
        <v>1</v>
      </c>
      <c r="E2032" s="64">
        <f t="shared" si="157"/>
        <v>450.22216737961713</v>
      </c>
      <c r="F2032" s="62" t="str">
        <f t="shared" si="158"/>
        <v/>
      </c>
    </row>
    <row r="2033" spans="1:6">
      <c r="A2033" s="60">
        <v>202800</v>
      </c>
      <c r="B2033" s="60">
        <f t="shared" si="156"/>
        <v>4503332</v>
      </c>
      <c r="C2033" s="60">
        <f t="shared" si="159"/>
        <v>4503332</v>
      </c>
      <c r="D2033" s="61">
        <f t="shared" si="155"/>
        <v>1</v>
      </c>
      <c r="E2033" s="64">
        <f t="shared" si="157"/>
        <v>450.33320996790809</v>
      </c>
      <c r="F2033" s="62" t="str">
        <f t="shared" si="158"/>
        <v/>
      </c>
    </row>
    <row r="2034" spans="1:6">
      <c r="A2034" s="60">
        <v>202900</v>
      </c>
      <c r="B2034" s="60">
        <f t="shared" si="156"/>
        <v>4504442</v>
      </c>
      <c r="C2034" s="60">
        <f t="shared" si="159"/>
        <v>4504442</v>
      </c>
      <c r="D2034" s="61">
        <f t="shared" si="155"/>
        <v>1</v>
      </c>
      <c r="E2034" s="64">
        <f t="shared" si="157"/>
        <v>450.4442251822083</v>
      </c>
      <c r="F2034" s="62" t="str">
        <f t="shared" si="158"/>
        <v/>
      </c>
    </row>
    <row r="2035" spans="1:6">
      <c r="A2035" s="60">
        <v>203000</v>
      </c>
      <c r="B2035" s="60">
        <f t="shared" si="156"/>
        <v>4505552</v>
      </c>
      <c r="C2035" s="60">
        <f t="shared" si="159"/>
        <v>4505552</v>
      </c>
      <c r="D2035" s="61">
        <f t="shared" si="155"/>
        <v>1</v>
      </c>
      <c r="E2035" s="64">
        <f t="shared" si="157"/>
        <v>450.55521304275237</v>
      </c>
      <c r="F2035" s="62" t="str">
        <f t="shared" si="158"/>
        <v/>
      </c>
    </row>
    <row r="2036" spans="1:6">
      <c r="A2036" s="60">
        <v>203100</v>
      </c>
      <c r="B2036" s="60">
        <f t="shared" si="156"/>
        <v>4506662</v>
      </c>
      <c r="C2036" s="60">
        <f t="shared" si="159"/>
        <v>4506662</v>
      </c>
      <c r="D2036" s="61">
        <f t="shared" si="155"/>
        <v>1</v>
      </c>
      <c r="E2036" s="64">
        <f t="shared" si="157"/>
        <v>450.66617356974996</v>
      </c>
      <c r="F2036" s="62" t="str">
        <f t="shared" si="158"/>
        <v/>
      </c>
    </row>
    <row r="2037" spans="1:6">
      <c r="A2037" s="60">
        <v>203200</v>
      </c>
      <c r="B2037" s="60">
        <f t="shared" si="156"/>
        <v>4507771</v>
      </c>
      <c r="C2037" s="60">
        <f t="shared" si="159"/>
        <v>4507771</v>
      </c>
      <c r="D2037" s="61">
        <f t="shared" si="155"/>
        <v>1</v>
      </c>
      <c r="E2037" s="64">
        <f t="shared" si="157"/>
        <v>450.77710678338582</v>
      </c>
      <c r="F2037" s="62" t="str">
        <f t="shared" si="158"/>
        <v/>
      </c>
    </row>
    <row r="2038" spans="1:6">
      <c r="A2038" s="60">
        <v>203300</v>
      </c>
      <c r="B2038" s="60">
        <f t="shared" si="156"/>
        <v>4508880</v>
      </c>
      <c r="C2038" s="60">
        <f t="shared" si="159"/>
        <v>4508880</v>
      </c>
      <c r="D2038" s="61">
        <f t="shared" si="155"/>
        <v>1</v>
      </c>
      <c r="E2038" s="64">
        <f t="shared" si="157"/>
        <v>450.88801270381981</v>
      </c>
      <c r="F2038" s="62" t="str">
        <f t="shared" si="158"/>
        <v/>
      </c>
    </row>
    <row r="2039" spans="1:6">
      <c r="A2039" s="60">
        <v>203400</v>
      </c>
      <c r="B2039" s="60">
        <f t="shared" si="156"/>
        <v>4509989</v>
      </c>
      <c r="C2039" s="60">
        <f t="shared" si="159"/>
        <v>4509989</v>
      </c>
      <c r="D2039" s="61">
        <f t="shared" si="155"/>
        <v>1</v>
      </c>
      <c r="E2039" s="64">
        <f t="shared" si="157"/>
        <v>450.99889135118724</v>
      </c>
      <c r="F2039" s="62" t="str">
        <f t="shared" si="158"/>
        <v/>
      </c>
    </row>
    <row r="2040" spans="1:6">
      <c r="A2040" s="60">
        <v>203500</v>
      </c>
      <c r="B2040" s="60">
        <f t="shared" si="156"/>
        <v>4511097</v>
      </c>
      <c r="C2040" s="60">
        <f t="shared" si="159"/>
        <v>4511097</v>
      </c>
      <c r="D2040" s="61">
        <f t="shared" si="155"/>
        <v>1</v>
      </c>
      <c r="E2040" s="64">
        <f t="shared" si="157"/>
        <v>451.10974274559845</v>
      </c>
      <c r="F2040" s="62" t="str">
        <f t="shared" si="158"/>
        <v/>
      </c>
    </row>
    <row r="2041" spans="1:6">
      <c r="A2041" s="60">
        <v>203600</v>
      </c>
      <c r="B2041" s="60">
        <f t="shared" si="156"/>
        <v>4512206</v>
      </c>
      <c r="C2041" s="60">
        <f t="shared" si="159"/>
        <v>4512206</v>
      </c>
      <c r="D2041" s="61">
        <f t="shared" si="155"/>
        <v>1</v>
      </c>
      <c r="E2041" s="64">
        <f t="shared" si="157"/>
        <v>451.22056690713913</v>
      </c>
      <c r="F2041" s="62" t="str">
        <f t="shared" si="158"/>
        <v/>
      </c>
    </row>
    <row r="2042" spans="1:6">
      <c r="A2042" s="60">
        <v>203700</v>
      </c>
      <c r="B2042" s="60">
        <f t="shared" si="156"/>
        <v>4513314</v>
      </c>
      <c r="C2042" s="60">
        <f t="shared" si="159"/>
        <v>4513314</v>
      </c>
      <c r="D2042" s="61">
        <f t="shared" si="155"/>
        <v>1</v>
      </c>
      <c r="E2042" s="64">
        <f t="shared" si="157"/>
        <v>451.33136385587034</v>
      </c>
      <c r="F2042" s="62" t="str">
        <f t="shared" si="158"/>
        <v/>
      </c>
    </row>
    <row r="2043" spans="1:6">
      <c r="A2043" s="60">
        <v>203800</v>
      </c>
      <c r="B2043" s="60">
        <f t="shared" si="156"/>
        <v>4514421</v>
      </c>
      <c r="C2043" s="60">
        <f t="shared" si="159"/>
        <v>4514421</v>
      </c>
      <c r="D2043" s="61">
        <f t="shared" si="155"/>
        <v>1</v>
      </c>
      <c r="E2043" s="64">
        <f t="shared" si="157"/>
        <v>451.44213361182847</v>
      </c>
      <c r="F2043" s="62" t="str">
        <f t="shared" si="158"/>
        <v/>
      </c>
    </row>
    <row r="2044" spans="1:6">
      <c r="A2044" s="60">
        <v>203900</v>
      </c>
      <c r="B2044" s="60">
        <f t="shared" si="156"/>
        <v>4515529</v>
      </c>
      <c r="C2044" s="60">
        <f t="shared" si="159"/>
        <v>4515529</v>
      </c>
      <c r="D2044" s="61">
        <f t="shared" si="155"/>
        <v>1</v>
      </c>
      <c r="E2044" s="64">
        <f t="shared" si="157"/>
        <v>451.55287619502548</v>
      </c>
      <c r="F2044" s="62" t="str">
        <f t="shared" si="158"/>
        <v/>
      </c>
    </row>
    <row r="2045" spans="1:6">
      <c r="A2045" s="60">
        <v>204000</v>
      </c>
      <c r="B2045" s="60">
        <f t="shared" si="156"/>
        <v>4516636</v>
      </c>
      <c r="C2045" s="60">
        <f t="shared" si="159"/>
        <v>4516636</v>
      </c>
      <c r="D2045" s="61">
        <f t="shared" si="155"/>
        <v>1</v>
      </c>
      <c r="E2045" s="64">
        <f t="shared" si="157"/>
        <v>451.66359162544859</v>
      </c>
      <c r="F2045" s="62" t="str">
        <f t="shared" si="158"/>
        <v/>
      </c>
    </row>
    <row r="2046" spans="1:6">
      <c r="A2046" s="60">
        <v>204100</v>
      </c>
      <c r="B2046" s="60">
        <f t="shared" si="156"/>
        <v>4517743</v>
      </c>
      <c r="C2046" s="60">
        <f t="shared" si="159"/>
        <v>4517743</v>
      </c>
      <c r="D2046" s="61">
        <f t="shared" si="155"/>
        <v>1</v>
      </c>
      <c r="E2046" s="64">
        <f t="shared" si="157"/>
        <v>451.7742799230607</v>
      </c>
      <c r="F2046" s="62" t="str">
        <f t="shared" si="158"/>
        <v/>
      </c>
    </row>
    <row r="2047" spans="1:6">
      <c r="A2047" s="60">
        <v>204200</v>
      </c>
      <c r="B2047" s="60">
        <f t="shared" si="156"/>
        <v>4518849</v>
      </c>
      <c r="C2047" s="60">
        <f t="shared" si="159"/>
        <v>4518849</v>
      </c>
      <c r="D2047" s="61">
        <f t="shared" si="155"/>
        <v>1</v>
      </c>
      <c r="E2047" s="64">
        <f t="shared" si="157"/>
        <v>451.88494110780016</v>
      </c>
      <c r="F2047" s="62" t="str">
        <f t="shared" si="158"/>
        <v/>
      </c>
    </row>
    <row r="2048" spans="1:6">
      <c r="A2048" s="60">
        <v>204300</v>
      </c>
      <c r="B2048" s="60">
        <f t="shared" si="156"/>
        <v>4519956</v>
      </c>
      <c r="C2048" s="60">
        <f t="shared" si="159"/>
        <v>4519956</v>
      </c>
      <c r="D2048" s="61">
        <f t="shared" si="155"/>
        <v>1</v>
      </c>
      <c r="E2048" s="64">
        <f t="shared" si="157"/>
        <v>451.99557519958091</v>
      </c>
      <c r="F2048" s="62" t="str">
        <f t="shared" si="158"/>
        <v/>
      </c>
    </row>
    <row r="2049" spans="1:6">
      <c r="A2049" s="60">
        <v>204400</v>
      </c>
      <c r="B2049" s="60">
        <f t="shared" si="156"/>
        <v>4521062</v>
      </c>
      <c r="C2049" s="60">
        <f t="shared" si="159"/>
        <v>4521062</v>
      </c>
      <c r="D2049" s="61">
        <f t="shared" si="155"/>
        <v>1</v>
      </c>
      <c r="E2049" s="64">
        <f t="shared" si="157"/>
        <v>452.10618221829259</v>
      </c>
      <c r="F2049" s="62" t="str">
        <f t="shared" si="158"/>
        <v/>
      </c>
    </row>
    <row r="2050" spans="1:6">
      <c r="A2050" s="60">
        <v>204500</v>
      </c>
      <c r="B2050" s="60">
        <f t="shared" si="156"/>
        <v>4522168</v>
      </c>
      <c r="C2050" s="60">
        <f t="shared" si="159"/>
        <v>4522168</v>
      </c>
      <c r="D2050" s="61">
        <f t="shared" si="155"/>
        <v>1</v>
      </c>
      <c r="E2050" s="64">
        <f t="shared" si="157"/>
        <v>452.21676218380054</v>
      </c>
      <c r="F2050" s="62" t="str">
        <f t="shared" si="158"/>
        <v/>
      </c>
    </row>
    <row r="2051" spans="1:6">
      <c r="A2051" s="60">
        <v>204600</v>
      </c>
      <c r="B2051" s="60">
        <f t="shared" si="156"/>
        <v>4523273</v>
      </c>
      <c r="C2051" s="60">
        <f t="shared" si="159"/>
        <v>4523273</v>
      </c>
      <c r="D2051" s="61">
        <f t="shared" si="155"/>
        <v>1</v>
      </c>
      <c r="E2051" s="64">
        <f t="shared" si="157"/>
        <v>452.32731511594568</v>
      </c>
      <c r="F2051" s="62" t="str">
        <f t="shared" si="158"/>
        <v/>
      </c>
    </row>
    <row r="2052" spans="1:6">
      <c r="A2052" s="60">
        <v>204700</v>
      </c>
      <c r="B2052" s="60">
        <f t="shared" si="156"/>
        <v>4524378</v>
      </c>
      <c r="C2052" s="60">
        <f t="shared" si="159"/>
        <v>4524378</v>
      </c>
      <c r="D2052" s="61">
        <f t="shared" si="155"/>
        <v>1</v>
      </c>
      <c r="E2052" s="64">
        <f t="shared" si="157"/>
        <v>452.43784103454476</v>
      </c>
      <c r="F2052" s="62" t="str">
        <f t="shared" si="158"/>
        <v/>
      </c>
    </row>
    <row r="2053" spans="1:6">
      <c r="A2053" s="60">
        <v>204800</v>
      </c>
      <c r="B2053" s="60">
        <f t="shared" si="156"/>
        <v>4525483</v>
      </c>
      <c r="C2053" s="60">
        <f t="shared" si="159"/>
        <v>4525483</v>
      </c>
      <c r="D2053" s="61">
        <f t="shared" ref="D2053:D2116" si="160">(A2053-INDEX(兵力区间,MATCH(A2053,兵力区间,1)))/(INDEX(兵力区间,MATCH(A2053,兵力区间,1)+1)-INDEX(兵力区间,MATCH(A2053,兵力区间,1)))*((INDEX(兵力调节,MATCH(A2053,兵力区间,1)+1,2)-INDEX(兵力调节,MATCH(A2053,兵力区间,1),2)))+INDEX(兵力调节,MATCH(A2053,兵力区间,1),2)</f>
        <v>1</v>
      </c>
      <c r="E2053" s="64">
        <f t="shared" si="157"/>
        <v>452.54833995939043</v>
      </c>
      <c r="F2053" s="62" t="str">
        <f t="shared" si="158"/>
        <v/>
      </c>
    </row>
    <row r="2054" spans="1:6">
      <c r="A2054" s="60">
        <v>204900</v>
      </c>
      <c r="B2054" s="60">
        <f t="shared" si="156"/>
        <v>4526588</v>
      </c>
      <c r="C2054" s="60">
        <f t="shared" si="159"/>
        <v>4526588</v>
      </c>
      <c r="D2054" s="61">
        <f t="shared" si="160"/>
        <v>1</v>
      </c>
      <c r="E2054" s="64">
        <f t="shared" si="157"/>
        <v>452.65881191025102</v>
      </c>
      <c r="F2054" s="62" t="str">
        <f t="shared" si="158"/>
        <v/>
      </c>
    </row>
    <row r="2055" spans="1:6">
      <c r="A2055" s="60">
        <v>205000</v>
      </c>
      <c r="B2055" s="60">
        <f t="shared" ref="B2055:B2118" si="161">ROUND(D2055*E2055*10000,0)</f>
        <v>4527693</v>
      </c>
      <c r="C2055" s="60">
        <f t="shared" si="159"/>
        <v>4527693</v>
      </c>
      <c r="D2055" s="61">
        <f t="shared" si="160"/>
        <v>1</v>
      </c>
      <c r="E2055" s="64">
        <f t="shared" ref="E2055:E2118" si="162">A2055^0.5</f>
        <v>452.76925690687085</v>
      </c>
      <c r="F2055" s="62" t="str">
        <f t="shared" si="158"/>
        <v/>
      </c>
    </row>
    <row r="2056" spans="1:6">
      <c r="A2056" s="60">
        <v>205100</v>
      </c>
      <c r="B2056" s="60">
        <f t="shared" si="161"/>
        <v>4528797</v>
      </c>
      <c r="C2056" s="60">
        <f t="shared" si="159"/>
        <v>4528797</v>
      </c>
      <c r="D2056" s="61">
        <f t="shared" si="160"/>
        <v>1</v>
      </c>
      <c r="E2056" s="64">
        <f t="shared" si="162"/>
        <v>452.87967496897011</v>
      </c>
      <c r="F2056" s="62" t="str">
        <f t="shared" ref="F2056:F2119" si="163">IF(B2056&lt;B2055,1,"")</f>
        <v/>
      </c>
    </row>
    <row r="2057" spans="1:6">
      <c r="A2057" s="60">
        <v>205200</v>
      </c>
      <c r="B2057" s="60">
        <f t="shared" si="161"/>
        <v>4529901</v>
      </c>
      <c r="C2057" s="60">
        <f t="shared" si="159"/>
        <v>4529901</v>
      </c>
      <c r="D2057" s="61">
        <f t="shared" si="160"/>
        <v>1</v>
      </c>
      <c r="E2057" s="64">
        <f t="shared" si="162"/>
        <v>452.99006611624498</v>
      </c>
      <c r="F2057" s="62" t="str">
        <f t="shared" si="163"/>
        <v/>
      </c>
    </row>
    <row r="2058" spans="1:6">
      <c r="A2058" s="60">
        <v>205300</v>
      </c>
      <c r="B2058" s="60">
        <f t="shared" si="161"/>
        <v>4531004</v>
      </c>
      <c r="C2058" s="60">
        <f t="shared" si="159"/>
        <v>4531004</v>
      </c>
      <c r="D2058" s="61">
        <f t="shared" si="160"/>
        <v>1</v>
      </c>
      <c r="E2058" s="64">
        <f t="shared" si="162"/>
        <v>453.10043036836765</v>
      </c>
      <c r="F2058" s="62" t="str">
        <f t="shared" si="163"/>
        <v/>
      </c>
    </row>
    <row r="2059" spans="1:6">
      <c r="A2059" s="60">
        <v>205400</v>
      </c>
      <c r="B2059" s="60">
        <f t="shared" si="161"/>
        <v>4532108</v>
      </c>
      <c r="C2059" s="60">
        <f t="shared" ref="C2059:C2122" si="164">ROUND(D2059*E2059*10000,0)</f>
        <v>4532108</v>
      </c>
      <c r="D2059" s="61">
        <f t="shared" si="160"/>
        <v>1</v>
      </c>
      <c r="E2059" s="64">
        <f t="shared" si="162"/>
        <v>453.21076774498641</v>
      </c>
      <c r="F2059" s="62" t="str">
        <f t="shared" si="163"/>
        <v/>
      </c>
    </row>
    <row r="2060" spans="1:6">
      <c r="A2060" s="60">
        <v>205500</v>
      </c>
      <c r="B2060" s="60">
        <f t="shared" si="161"/>
        <v>4533211</v>
      </c>
      <c r="C2060" s="60">
        <f t="shared" si="164"/>
        <v>4533211</v>
      </c>
      <c r="D2060" s="61">
        <f t="shared" si="160"/>
        <v>1</v>
      </c>
      <c r="E2060" s="64">
        <f t="shared" si="162"/>
        <v>453.32107826572548</v>
      </c>
      <c r="F2060" s="62" t="str">
        <f t="shared" si="163"/>
        <v/>
      </c>
    </row>
    <row r="2061" spans="1:6">
      <c r="A2061" s="60">
        <v>205600</v>
      </c>
      <c r="B2061" s="60">
        <f t="shared" si="161"/>
        <v>4534314</v>
      </c>
      <c r="C2061" s="60">
        <f t="shared" si="164"/>
        <v>4534314</v>
      </c>
      <c r="D2061" s="61">
        <f t="shared" si="160"/>
        <v>1</v>
      </c>
      <c r="E2061" s="64">
        <f t="shared" si="162"/>
        <v>453.43136195018536</v>
      </c>
      <c r="F2061" s="62" t="str">
        <f t="shared" si="163"/>
        <v/>
      </c>
    </row>
    <row r="2062" spans="1:6">
      <c r="A2062" s="60">
        <v>205700</v>
      </c>
      <c r="B2062" s="60">
        <f t="shared" si="161"/>
        <v>4535416</v>
      </c>
      <c r="C2062" s="60">
        <f t="shared" si="164"/>
        <v>4535416</v>
      </c>
      <c r="D2062" s="61">
        <f t="shared" si="160"/>
        <v>1</v>
      </c>
      <c r="E2062" s="64">
        <f t="shared" si="162"/>
        <v>453.54161881794266</v>
      </c>
      <c r="F2062" s="62" t="str">
        <f t="shared" si="163"/>
        <v/>
      </c>
    </row>
    <row r="2063" spans="1:6">
      <c r="A2063" s="60">
        <v>205800</v>
      </c>
      <c r="B2063" s="60">
        <f t="shared" si="161"/>
        <v>4536518</v>
      </c>
      <c r="C2063" s="60">
        <f t="shared" si="164"/>
        <v>4536518</v>
      </c>
      <c r="D2063" s="61">
        <f t="shared" si="160"/>
        <v>1</v>
      </c>
      <c r="E2063" s="64">
        <f t="shared" si="162"/>
        <v>453.65184888855021</v>
      </c>
      <c r="F2063" s="62" t="str">
        <f t="shared" si="163"/>
        <v/>
      </c>
    </row>
    <row r="2064" spans="1:6">
      <c r="A2064" s="60">
        <v>205900</v>
      </c>
      <c r="B2064" s="60">
        <f t="shared" si="161"/>
        <v>4537621</v>
      </c>
      <c r="C2064" s="60">
        <f t="shared" si="164"/>
        <v>4537621</v>
      </c>
      <c r="D2064" s="61">
        <f t="shared" si="160"/>
        <v>1</v>
      </c>
      <c r="E2064" s="64">
        <f t="shared" si="162"/>
        <v>453.76205218153711</v>
      </c>
      <c r="F2064" s="62" t="str">
        <f t="shared" si="163"/>
        <v/>
      </c>
    </row>
    <row r="2065" spans="1:6">
      <c r="A2065" s="60">
        <v>206000</v>
      </c>
      <c r="B2065" s="60">
        <f t="shared" si="161"/>
        <v>4538722</v>
      </c>
      <c r="C2065" s="60">
        <f t="shared" si="164"/>
        <v>4538722</v>
      </c>
      <c r="D2065" s="61">
        <f t="shared" si="160"/>
        <v>1</v>
      </c>
      <c r="E2065" s="64">
        <f t="shared" si="162"/>
        <v>453.8722287164087</v>
      </c>
      <c r="F2065" s="62" t="str">
        <f t="shared" si="163"/>
        <v/>
      </c>
    </row>
    <row r="2066" spans="1:6">
      <c r="A2066" s="60">
        <v>206100</v>
      </c>
      <c r="B2066" s="60">
        <f t="shared" si="161"/>
        <v>4539824</v>
      </c>
      <c r="C2066" s="60">
        <f t="shared" si="164"/>
        <v>4539824</v>
      </c>
      <c r="D2066" s="61">
        <f t="shared" si="160"/>
        <v>1</v>
      </c>
      <c r="E2066" s="64">
        <f t="shared" si="162"/>
        <v>453.98237851264668</v>
      </c>
      <c r="F2066" s="62" t="str">
        <f t="shared" si="163"/>
        <v/>
      </c>
    </row>
    <row r="2067" spans="1:6">
      <c r="A2067" s="60">
        <v>206200</v>
      </c>
      <c r="B2067" s="60">
        <f t="shared" si="161"/>
        <v>4540925</v>
      </c>
      <c r="C2067" s="60">
        <f t="shared" si="164"/>
        <v>4540925</v>
      </c>
      <c r="D2067" s="61">
        <f t="shared" si="160"/>
        <v>1</v>
      </c>
      <c r="E2067" s="64">
        <f t="shared" si="162"/>
        <v>454.09250158970912</v>
      </c>
      <c r="F2067" s="62" t="str">
        <f t="shared" si="163"/>
        <v/>
      </c>
    </row>
    <row r="2068" spans="1:6">
      <c r="A2068" s="60">
        <v>206300</v>
      </c>
      <c r="B2068" s="60">
        <f t="shared" si="161"/>
        <v>4542026</v>
      </c>
      <c r="C2068" s="60">
        <f t="shared" si="164"/>
        <v>4542026</v>
      </c>
      <c r="D2068" s="61">
        <f t="shared" si="160"/>
        <v>1</v>
      </c>
      <c r="E2068" s="64">
        <f t="shared" si="162"/>
        <v>454.20259796703056</v>
      </c>
      <c r="F2068" s="62" t="str">
        <f t="shared" si="163"/>
        <v/>
      </c>
    </row>
    <row r="2069" spans="1:6">
      <c r="A2069" s="60">
        <v>206400</v>
      </c>
      <c r="B2069" s="60">
        <f t="shared" si="161"/>
        <v>4543127</v>
      </c>
      <c r="C2069" s="60">
        <f t="shared" si="164"/>
        <v>4543127</v>
      </c>
      <c r="D2069" s="61">
        <f t="shared" si="160"/>
        <v>1</v>
      </c>
      <c r="E2069" s="64">
        <f t="shared" si="162"/>
        <v>454.31266766402189</v>
      </c>
      <c r="F2069" s="62" t="str">
        <f t="shared" si="163"/>
        <v/>
      </c>
    </row>
    <row r="2070" spans="1:6">
      <c r="A2070" s="60">
        <v>206500</v>
      </c>
      <c r="B2070" s="60">
        <f t="shared" si="161"/>
        <v>4544227</v>
      </c>
      <c r="C2070" s="60">
        <f t="shared" si="164"/>
        <v>4544227</v>
      </c>
      <c r="D2070" s="61">
        <f t="shared" si="160"/>
        <v>1</v>
      </c>
      <c r="E2070" s="64">
        <f t="shared" si="162"/>
        <v>454.42271070007052</v>
      </c>
      <c r="F2070" s="62" t="str">
        <f t="shared" si="163"/>
        <v/>
      </c>
    </row>
    <row r="2071" spans="1:6">
      <c r="A2071" s="60">
        <v>206600</v>
      </c>
      <c r="B2071" s="60">
        <f t="shared" si="161"/>
        <v>4545327</v>
      </c>
      <c r="C2071" s="60">
        <f t="shared" si="164"/>
        <v>4545327</v>
      </c>
      <c r="D2071" s="61">
        <f t="shared" si="160"/>
        <v>1</v>
      </c>
      <c r="E2071" s="64">
        <f t="shared" si="162"/>
        <v>454.53272709454046</v>
      </c>
      <c r="F2071" s="62" t="str">
        <f t="shared" si="163"/>
        <v/>
      </c>
    </row>
    <row r="2072" spans="1:6">
      <c r="A2072" s="60">
        <v>206700</v>
      </c>
      <c r="B2072" s="60">
        <f t="shared" si="161"/>
        <v>4546427</v>
      </c>
      <c r="C2072" s="60">
        <f t="shared" si="164"/>
        <v>4546427</v>
      </c>
      <c r="D2072" s="61">
        <f t="shared" si="160"/>
        <v>1</v>
      </c>
      <c r="E2072" s="64">
        <f t="shared" si="162"/>
        <v>454.64271686677222</v>
      </c>
      <c r="F2072" s="62" t="str">
        <f t="shared" si="163"/>
        <v/>
      </c>
    </row>
    <row r="2073" spans="1:6">
      <c r="A2073" s="60">
        <v>206800</v>
      </c>
      <c r="B2073" s="60">
        <f t="shared" si="161"/>
        <v>4547527</v>
      </c>
      <c r="C2073" s="60">
        <f t="shared" si="164"/>
        <v>4547527</v>
      </c>
      <c r="D2073" s="61">
        <f t="shared" si="160"/>
        <v>1</v>
      </c>
      <c r="E2073" s="64">
        <f t="shared" si="162"/>
        <v>454.75268003608289</v>
      </c>
      <c r="F2073" s="62" t="str">
        <f t="shared" si="163"/>
        <v/>
      </c>
    </row>
    <row r="2074" spans="1:6">
      <c r="A2074" s="60">
        <v>206900</v>
      </c>
      <c r="B2074" s="60">
        <f t="shared" si="161"/>
        <v>4548626</v>
      </c>
      <c r="C2074" s="60">
        <f t="shared" si="164"/>
        <v>4548626</v>
      </c>
      <c r="D2074" s="61">
        <f t="shared" si="160"/>
        <v>1</v>
      </c>
      <c r="E2074" s="64">
        <f t="shared" si="162"/>
        <v>454.86261662176634</v>
      </c>
      <c r="F2074" s="62" t="str">
        <f t="shared" si="163"/>
        <v/>
      </c>
    </row>
    <row r="2075" spans="1:6">
      <c r="A2075" s="60">
        <v>207000</v>
      </c>
      <c r="B2075" s="60">
        <f t="shared" si="161"/>
        <v>4549725</v>
      </c>
      <c r="C2075" s="60">
        <f t="shared" si="164"/>
        <v>4549725</v>
      </c>
      <c r="D2075" s="61">
        <f t="shared" si="160"/>
        <v>1</v>
      </c>
      <c r="E2075" s="64">
        <f t="shared" si="162"/>
        <v>454.97252664309303</v>
      </c>
      <c r="F2075" s="62" t="str">
        <f t="shared" si="163"/>
        <v/>
      </c>
    </row>
    <row r="2076" spans="1:6">
      <c r="A2076" s="60">
        <v>207100</v>
      </c>
      <c r="B2076" s="60">
        <f t="shared" si="161"/>
        <v>4550824</v>
      </c>
      <c r="C2076" s="60">
        <f t="shared" si="164"/>
        <v>4550824</v>
      </c>
      <c r="D2076" s="61">
        <f t="shared" si="160"/>
        <v>1</v>
      </c>
      <c r="E2076" s="64">
        <f t="shared" si="162"/>
        <v>455.08241011931017</v>
      </c>
      <c r="F2076" s="62" t="str">
        <f t="shared" si="163"/>
        <v/>
      </c>
    </row>
    <row r="2077" spans="1:6">
      <c r="A2077" s="60">
        <v>207200</v>
      </c>
      <c r="B2077" s="60">
        <f t="shared" si="161"/>
        <v>4551923</v>
      </c>
      <c r="C2077" s="60">
        <f t="shared" si="164"/>
        <v>4551923</v>
      </c>
      <c r="D2077" s="61">
        <f t="shared" si="160"/>
        <v>1</v>
      </c>
      <c r="E2077" s="64">
        <f t="shared" si="162"/>
        <v>455.19226706964167</v>
      </c>
      <c r="F2077" s="62" t="str">
        <f t="shared" si="163"/>
        <v/>
      </c>
    </row>
    <row r="2078" spans="1:6">
      <c r="A2078" s="60">
        <v>207300</v>
      </c>
      <c r="B2078" s="60">
        <f t="shared" si="161"/>
        <v>4553021</v>
      </c>
      <c r="C2078" s="60">
        <f t="shared" si="164"/>
        <v>4553021</v>
      </c>
      <c r="D2078" s="61">
        <f t="shared" si="160"/>
        <v>1</v>
      </c>
      <c r="E2078" s="64">
        <f t="shared" si="162"/>
        <v>455.3020975132884</v>
      </c>
      <c r="F2078" s="62" t="str">
        <f t="shared" si="163"/>
        <v/>
      </c>
    </row>
    <row r="2079" spans="1:6">
      <c r="A2079" s="60">
        <v>207400</v>
      </c>
      <c r="B2079" s="60">
        <f t="shared" si="161"/>
        <v>4554119</v>
      </c>
      <c r="C2079" s="60">
        <f t="shared" si="164"/>
        <v>4554119</v>
      </c>
      <c r="D2079" s="61">
        <f t="shared" si="160"/>
        <v>1</v>
      </c>
      <c r="E2079" s="64">
        <f t="shared" si="162"/>
        <v>455.41190146942802</v>
      </c>
      <c r="F2079" s="62" t="str">
        <f t="shared" si="163"/>
        <v/>
      </c>
    </row>
    <row r="2080" spans="1:6">
      <c r="A2080" s="60">
        <v>207500</v>
      </c>
      <c r="B2080" s="60">
        <f t="shared" si="161"/>
        <v>4555217</v>
      </c>
      <c r="C2080" s="60">
        <f t="shared" si="164"/>
        <v>4555217</v>
      </c>
      <c r="D2080" s="61">
        <f t="shared" si="160"/>
        <v>1</v>
      </c>
      <c r="E2080" s="64">
        <f t="shared" si="162"/>
        <v>455.52167895721493</v>
      </c>
      <c r="F2080" s="62" t="str">
        <f t="shared" si="163"/>
        <v/>
      </c>
    </row>
    <row r="2081" spans="1:6">
      <c r="A2081" s="60">
        <v>207600</v>
      </c>
      <c r="B2081" s="60">
        <f t="shared" si="161"/>
        <v>4556314</v>
      </c>
      <c r="C2081" s="60">
        <f t="shared" si="164"/>
        <v>4556314</v>
      </c>
      <c r="D2081" s="61">
        <f t="shared" si="160"/>
        <v>1</v>
      </c>
      <c r="E2081" s="64">
        <f t="shared" si="162"/>
        <v>455.63142999578071</v>
      </c>
      <c r="F2081" s="62" t="str">
        <f t="shared" si="163"/>
        <v/>
      </c>
    </row>
    <row r="2082" spans="1:6">
      <c r="A2082" s="60">
        <v>207700</v>
      </c>
      <c r="B2082" s="60">
        <f t="shared" si="161"/>
        <v>4557412</v>
      </c>
      <c r="C2082" s="60">
        <f t="shared" si="164"/>
        <v>4557412</v>
      </c>
      <c r="D2082" s="61">
        <f t="shared" si="160"/>
        <v>1</v>
      </c>
      <c r="E2082" s="64">
        <f t="shared" si="162"/>
        <v>455.74115460423366</v>
      </c>
      <c r="F2082" s="62" t="str">
        <f t="shared" si="163"/>
        <v/>
      </c>
    </row>
    <row r="2083" spans="1:6">
      <c r="A2083" s="60">
        <v>207800</v>
      </c>
      <c r="B2083" s="60">
        <f t="shared" si="161"/>
        <v>4558509</v>
      </c>
      <c r="C2083" s="60">
        <f t="shared" si="164"/>
        <v>4558509</v>
      </c>
      <c r="D2083" s="61">
        <f t="shared" si="160"/>
        <v>1</v>
      </c>
      <c r="E2083" s="64">
        <f t="shared" si="162"/>
        <v>455.85085280165924</v>
      </c>
      <c r="F2083" s="62" t="str">
        <f t="shared" si="163"/>
        <v/>
      </c>
    </row>
    <row r="2084" spans="1:6">
      <c r="A2084" s="60">
        <v>207900</v>
      </c>
      <c r="B2084" s="60">
        <f t="shared" si="161"/>
        <v>4559605</v>
      </c>
      <c r="C2084" s="60">
        <f t="shared" si="164"/>
        <v>4559605</v>
      </c>
      <c r="D2084" s="61">
        <f t="shared" si="160"/>
        <v>1</v>
      </c>
      <c r="E2084" s="64">
        <f t="shared" si="162"/>
        <v>455.96052460711991</v>
      </c>
      <c r="F2084" s="62" t="str">
        <f t="shared" si="163"/>
        <v/>
      </c>
    </row>
    <row r="2085" spans="1:6">
      <c r="A2085" s="60">
        <v>208000</v>
      </c>
      <c r="B2085" s="60">
        <f t="shared" si="161"/>
        <v>4560702</v>
      </c>
      <c r="C2085" s="60">
        <f t="shared" si="164"/>
        <v>4560702</v>
      </c>
      <c r="D2085" s="61">
        <f t="shared" si="160"/>
        <v>1</v>
      </c>
      <c r="E2085" s="64">
        <f t="shared" si="162"/>
        <v>456.07017003965518</v>
      </c>
      <c r="F2085" s="62" t="str">
        <f t="shared" si="163"/>
        <v/>
      </c>
    </row>
    <row r="2086" spans="1:6">
      <c r="A2086" s="60">
        <v>208100</v>
      </c>
      <c r="B2086" s="60">
        <f t="shared" si="161"/>
        <v>4561798</v>
      </c>
      <c r="C2086" s="60">
        <f t="shared" si="164"/>
        <v>4561798</v>
      </c>
      <c r="D2086" s="61">
        <f t="shared" si="160"/>
        <v>1</v>
      </c>
      <c r="E2086" s="64">
        <f t="shared" si="162"/>
        <v>456.17978911828175</v>
      </c>
      <c r="F2086" s="62" t="str">
        <f t="shared" si="163"/>
        <v/>
      </c>
    </row>
    <row r="2087" spans="1:6">
      <c r="A2087" s="60">
        <v>208200</v>
      </c>
      <c r="B2087" s="60">
        <f t="shared" si="161"/>
        <v>4562894</v>
      </c>
      <c r="C2087" s="60">
        <f t="shared" si="164"/>
        <v>4562894</v>
      </c>
      <c r="D2087" s="61">
        <f t="shared" si="160"/>
        <v>1</v>
      </c>
      <c r="E2087" s="64">
        <f t="shared" si="162"/>
        <v>456.28938186199338</v>
      </c>
      <c r="F2087" s="62" t="str">
        <f t="shared" si="163"/>
        <v/>
      </c>
    </row>
    <row r="2088" spans="1:6">
      <c r="A2088" s="60">
        <v>208300</v>
      </c>
      <c r="B2088" s="60">
        <f t="shared" si="161"/>
        <v>4563989</v>
      </c>
      <c r="C2088" s="60">
        <f t="shared" si="164"/>
        <v>4563989</v>
      </c>
      <c r="D2088" s="61">
        <f t="shared" si="160"/>
        <v>1</v>
      </c>
      <c r="E2088" s="64">
        <f t="shared" si="162"/>
        <v>456.39894828976105</v>
      </c>
      <c r="F2088" s="62" t="str">
        <f t="shared" si="163"/>
        <v/>
      </c>
    </row>
    <row r="2089" spans="1:6">
      <c r="A2089" s="60">
        <v>208400</v>
      </c>
      <c r="B2089" s="60">
        <f t="shared" si="161"/>
        <v>4565085</v>
      </c>
      <c r="C2089" s="60">
        <f t="shared" si="164"/>
        <v>4565085</v>
      </c>
      <c r="D2089" s="61">
        <f t="shared" si="160"/>
        <v>1</v>
      </c>
      <c r="E2089" s="64">
        <f t="shared" si="162"/>
        <v>456.50848842053307</v>
      </c>
      <c r="F2089" s="62" t="str">
        <f t="shared" si="163"/>
        <v/>
      </c>
    </row>
    <row r="2090" spans="1:6">
      <c r="A2090" s="60">
        <v>208500</v>
      </c>
      <c r="B2090" s="60">
        <f t="shared" si="161"/>
        <v>4566180</v>
      </c>
      <c r="C2090" s="60">
        <f t="shared" si="164"/>
        <v>4566180</v>
      </c>
      <c r="D2090" s="61">
        <f t="shared" si="160"/>
        <v>1</v>
      </c>
      <c r="E2090" s="64">
        <f t="shared" si="162"/>
        <v>456.61800227323494</v>
      </c>
      <c r="F2090" s="62" t="str">
        <f t="shared" si="163"/>
        <v/>
      </c>
    </row>
    <row r="2091" spans="1:6">
      <c r="A2091" s="60">
        <v>208600</v>
      </c>
      <c r="B2091" s="60">
        <f t="shared" si="161"/>
        <v>4567275</v>
      </c>
      <c r="C2091" s="60">
        <f t="shared" si="164"/>
        <v>4567275</v>
      </c>
      <c r="D2091" s="61">
        <f t="shared" si="160"/>
        <v>1</v>
      </c>
      <c r="E2091" s="64">
        <f t="shared" si="162"/>
        <v>456.72748986676947</v>
      </c>
      <c r="F2091" s="62" t="str">
        <f t="shared" si="163"/>
        <v/>
      </c>
    </row>
    <row r="2092" spans="1:6">
      <c r="A2092" s="60">
        <v>208700</v>
      </c>
      <c r="B2092" s="60">
        <f t="shared" si="161"/>
        <v>4568370</v>
      </c>
      <c r="C2092" s="60">
        <f t="shared" si="164"/>
        <v>4568370</v>
      </c>
      <c r="D2092" s="61">
        <f t="shared" si="160"/>
        <v>1</v>
      </c>
      <c r="E2092" s="64">
        <f t="shared" si="162"/>
        <v>456.83695122001677</v>
      </c>
      <c r="F2092" s="62" t="str">
        <f t="shared" si="163"/>
        <v/>
      </c>
    </row>
    <row r="2093" spans="1:6">
      <c r="A2093" s="60">
        <v>208800</v>
      </c>
      <c r="B2093" s="60">
        <f t="shared" si="161"/>
        <v>4569464</v>
      </c>
      <c r="C2093" s="60">
        <f t="shared" si="164"/>
        <v>4569464</v>
      </c>
      <c r="D2093" s="61">
        <f t="shared" si="160"/>
        <v>1</v>
      </c>
      <c r="E2093" s="64">
        <f t="shared" si="162"/>
        <v>456.94638635183452</v>
      </c>
      <c r="F2093" s="62" t="str">
        <f t="shared" si="163"/>
        <v/>
      </c>
    </row>
    <row r="2094" spans="1:6">
      <c r="A2094" s="60">
        <v>208900</v>
      </c>
      <c r="B2094" s="60">
        <f t="shared" si="161"/>
        <v>4570558</v>
      </c>
      <c r="C2094" s="60">
        <f t="shared" si="164"/>
        <v>4570558</v>
      </c>
      <c r="D2094" s="61">
        <f t="shared" si="160"/>
        <v>1</v>
      </c>
      <c r="E2094" s="64">
        <f t="shared" si="162"/>
        <v>457.05579528105756</v>
      </c>
      <c r="F2094" s="62" t="str">
        <f t="shared" si="163"/>
        <v/>
      </c>
    </row>
    <row r="2095" spans="1:6">
      <c r="A2095" s="60">
        <v>209000</v>
      </c>
      <c r="B2095" s="60">
        <f t="shared" si="161"/>
        <v>4571652</v>
      </c>
      <c r="C2095" s="60">
        <f t="shared" si="164"/>
        <v>4571652</v>
      </c>
      <c r="D2095" s="61">
        <f t="shared" si="160"/>
        <v>1</v>
      </c>
      <c r="E2095" s="64">
        <f t="shared" si="162"/>
        <v>457.16517802649844</v>
      </c>
      <c r="F2095" s="62" t="str">
        <f t="shared" si="163"/>
        <v/>
      </c>
    </row>
    <row r="2096" spans="1:6">
      <c r="A2096" s="60">
        <v>209100</v>
      </c>
      <c r="B2096" s="60">
        <f t="shared" si="161"/>
        <v>4572745</v>
      </c>
      <c r="C2096" s="60">
        <f t="shared" si="164"/>
        <v>4572745</v>
      </c>
      <c r="D2096" s="61">
        <f t="shared" si="160"/>
        <v>1</v>
      </c>
      <c r="E2096" s="64">
        <f t="shared" si="162"/>
        <v>457.27453460694704</v>
      </c>
      <c r="F2096" s="62" t="str">
        <f t="shared" si="163"/>
        <v/>
      </c>
    </row>
    <row r="2097" spans="1:6">
      <c r="A2097" s="60">
        <v>209200</v>
      </c>
      <c r="B2097" s="60">
        <f t="shared" si="161"/>
        <v>4573839</v>
      </c>
      <c r="C2097" s="60">
        <f t="shared" si="164"/>
        <v>4573839</v>
      </c>
      <c r="D2097" s="61">
        <f t="shared" si="160"/>
        <v>1</v>
      </c>
      <c r="E2097" s="64">
        <f t="shared" si="162"/>
        <v>457.38386504117085</v>
      </c>
      <c r="F2097" s="62" t="str">
        <f t="shared" si="163"/>
        <v/>
      </c>
    </row>
    <row r="2098" spans="1:6">
      <c r="A2098" s="60">
        <v>209300</v>
      </c>
      <c r="B2098" s="60">
        <f t="shared" si="161"/>
        <v>4574932</v>
      </c>
      <c r="C2098" s="60">
        <f t="shared" si="164"/>
        <v>4574932</v>
      </c>
      <c r="D2098" s="61">
        <f t="shared" si="160"/>
        <v>1</v>
      </c>
      <c r="E2098" s="64">
        <f t="shared" si="162"/>
        <v>457.49316934791494</v>
      </c>
      <c r="F2098" s="62" t="str">
        <f t="shared" si="163"/>
        <v/>
      </c>
    </row>
    <row r="2099" spans="1:6">
      <c r="A2099" s="60">
        <v>209400</v>
      </c>
      <c r="B2099" s="60">
        <f t="shared" si="161"/>
        <v>4576024</v>
      </c>
      <c r="C2099" s="60">
        <f t="shared" si="164"/>
        <v>4576024</v>
      </c>
      <c r="D2099" s="61">
        <f t="shared" si="160"/>
        <v>1</v>
      </c>
      <c r="E2099" s="64">
        <f t="shared" si="162"/>
        <v>457.60244754590201</v>
      </c>
      <c r="F2099" s="62" t="str">
        <f t="shared" si="163"/>
        <v/>
      </c>
    </row>
    <row r="2100" spans="1:6">
      <c r="A2100" s="60">
        <v>209500</v>
      </c>
      <c r="B2100" s="60">
        <f t="shared" si="161"/>
        <v>4577117</v>
      </c>
      <c r="C2100" s="60">
        <f t="shared" si="164"/>
        <v>4577117</v>
      </c>
      <c r="D2100" s="61">
        <f t="shared" si="160"/>
        <v>1</v>
      </c>
      <c r="E2100" s="64">
        <f t="shared" si="162"/>
        <v>457.71169965383234</v>
      </c>
      <c r="F2100" s="62" t="str">
        <f t="shared" si="163"/>
        <v/>
      </c>
    </row>
    <row r="2101" spans="1:6">
      <c r="A2101" s="60">
        <v>209600</v>
      </c>
      <c r="B2101" s="60">
        <f t="shared" si="161"/>
        <v>4578209</v>
      </c>
      <c r="C2101" s="60">
        <f t="shared" si="164"/>
        <v>4578209</v>
      </c>
      <c r="D2101" s="61">
        <f t="shared" si="160"/>
        <v>1</v>
      </c>
      <c r="E2101" s="64">
        <f t="shared" si="162"/>
        <v>457.82092569038389</v>
      </c>
      <c r="F2101" s="62" t="str">
        <f t="shared" si="163"/>
        <v/>
      </c>
    </row>
    <row r="2102" spans="1:6">
      <c r="A2102" s="60">
        <v>209700</v>
      </c>
      <c r="B2102" s="60">
        <f t="shared" si="161"/>
        <v>4579301</v>
      </c>
      <c r="C2102" s="60">
        <f t="shared" si="164"/>
        <v>4579301</v>
      </c>
      <c r="D2102" s="61">
        <f t="shared" si="160"/>
        <v>1</v>
      </c>
      <c r="E2102" s="64">
        <f t="shared" si="162"/>
        <v>457.93012567421243</v>
      </c>
      <c r="F2102" s="62" t="str">
        <f t="shared" si="163"/>
        <v/>
      </c>
    </row>
    <row r="2103" spans="1:6">
      <c r="A2103" s="60">
        <v>209800</v>
      </c>
      <c r="B2103" s="60">
        <f t="shared" si="161"/>
        <v>4580393</v>
      </c>
      <c r="C2103" s="60">
        <f t="shared" si="164"/>
        <v>4580393</v>
      </c>
      <c r="D2103" s="61">
        <f t="shared" si="160"/>
        <v>1</v>
      </c>
      <c r="E2103" s="64">
        <f t="shared" si="162"/>
        <v>458.03929962395148</v>
      </c>
      <c r="F2103" s="62" t="str">
        <f t="shared" si="163"/>
        <v/>
      </c>
    </row>
    <row r="2104" spans="1:6">
      <c r="A2104" s="60">
        <v>209900</v>
      </c>
      <c r="B2104" s="60">
        <f t="shared" si="161"/>
        <v>4581484</v>
      </c>
      <c r="C2104" s="60">
        <f t="shared" si="164"/>
        <v>4581484</v>
      </c>
      <c r="D2104" s="61">
        <f t="shared" si="160"/>
        <v>1</v>
      </c>
      <c r="E2104" s="64">
        <f t="shared" si="162"/>
        <v>458.1484475582123</v>
      </c>
      <c r="F2104" s="62" t="str">
        <f t="shared" si="163"/>
        <v/>
      </c>
    </row>
    <row r="2105" spans="1:6">
      <c r="A2105" s="60">
        <v>210000</v>
      </c>
      <c r="B2105" s="60">
        <f t="shared" si="161"/>
        <v>4582576</v>
      </c>
      <c r="C2105" s="60">
        <f t="shared" si="164"/>
        <v>4582576</v>
      </c>
      <c r="D2105" s="61">
        <f t="shared" si="160"/>
        <v>1</v>
      </c>
      <c r="E2105" s="64">
        <f t="shared" si="162"/>
        <v>458.25756949558399</v>
      </c>
      <c r="F2105" s="62" t="str">
        <f t="shared" si="163"/>
        <v/>
      </c>
    </row>
    <row r="2106" spans="1:6">
      <c r="A2106" s="60">
        <v>210100</v>
      </c>
      <c r="B2106" s="60">
        <f t="shared" si="161"/>
        <v>4583667</v>
      </c>
      <c r="C2106" s="60">
        <f t="shared" si="164"/>
        <v>4583667</v>
      </c>
      <c r="D2106" s="61">
        <f t="shared" si="160"/>
        <v>1</v>
      </c>
      <c r="E2106" s="64">
        <f t="shared" si="162"/>
        <v>458.36666545463362</v>
      </c>
      <c r="F2106" s="62" t="str">
        <f t="shared" si="163"/>
        <v/>
      </c>
    </row>
    <row r="2107" spans="1:6">
      <c r="A2107" s="60">
        <v>210200</v>
      </c>
      <c r="B2107" s="60">
        <f t="shared" si="161"/>
        <v>4584757</v>
      </c>
      <c r="C2107" s="60">
        <f t="shared" si="164"/>
        <v>4584757</v>
      </c>
      <c r="D2107" s="61">
        <f t="shared" si="160"/>
        <v>1</v>
      </c>
      <c r="E2107" s="64">
        <f t="shared" si="162"/>
        <v>458.475735453906</v>
      </c>
      <c r="F2107" s="62" t="str">
        <f t="shared" si="163"/>
        <v/>
      </c>
    </row>
    <row r="2108" spans="1:6">
      <c r="A2108" s="60">
        <v>210300</v>
      </c>
      <c r="B2108" s="60">
        <f t="shared" si="161"/>
        <v>4585848</v>
      </c>
      <c r="C2108" s="60">
        <f t="shared" si="164"/>
        <v>4585848</v>
      </c>
      <c r="D2108" s="61">
        <f t="shared" si="160"/>
        <v>1</v>
      </c>
      <c r="E2108" s="64">
        <f t="shared" si="162"/>
        <v>458.58477951192407</v>
      </c>
      <c r="F2108" s="62" t="str">
        <f t="shared" si="163"/>
        <v/>
      </c>
    </row>
    <row r="2109" spans="1:6">
      <c r="A2109" s="60">
        <v>210400</v>
      </c>
      <c r="B2109" s="60">
        <f t="shared" si="161"/>
        <v>4586938</v>
      </c>
      <c r="C2109" s="60">
        <f t="shared" si="164"/>
        <v>4586938</v>
      </c>
      <c r="D2109" s="61">
        <f t="shared" si="160"/>
        <v>1</v>
      </c>
      <c r="E2109" s="64">
        <f t="shared" si="162"/>
        <v>458.6937976471886</v>
      </c>
      <c r="F2109" s="62" t="str">
        <f t="shared" si="163"/>
        <v/>
      </c>
    </row>
    <row r="2110" spans="1:6">
      <c r="A2110" s="60">
        <v>210500</v>
      </c>
      <c r="B2110" s="60">
        <f t="shared" si="161"/>
        <v>4588028</v>
      </c>
      <c r="C2110" s="60">
        <f t="shared" si="164"/>
        <v>4588028</v>
      </c>
      <c r="D2110" s="61">
        <f t="shared" si="160"/>
        <v>1</v>
      </c>
      <c r="E2110" s="64">
        <f t="shared" si="162"/>
        <v>458.80278987817849</v>
      </c>
      <c r="F2110" s="62" t="str">
        <f t="shared" si="163"/>
        <v/>
      </c>
    </row>
    <row r="2111" spans="1:6">
      <c r="A2111" s="60">
        <v>210600</v>
      </c>
      <c r="B2111" s="60">
        <f t="shared" si="161"/>
        <v>4589118</v>
      </c>
      <c r="C2111" s="60">
        <f t="shared" si="164"/>
        <v>4589118</v>
      </c>
      <c r="D2111" s="61">
        <f t="shared" si="160"/>
        <v>1</v>
      </c>
      <c r="E2111" s="64">
        <f t="shared" si="162"/>
        <v>458.91175622335061</v>
      </c>
      <c r="F2111" s="62" t="str">
        <f t="shared" si="163"/>
        <v/>
      </c>
    </row>
    <row r="2112" spans="1:6">
      <c r="A2112" s="60">
        <v>210700</v>
      </c>
      <c r="B2112" s="60">
        <f t="shared" si="161"/>
        <v>4590207</v>
      </c>
      <c r="C2112" s="60">
        <f t="shared" si="164"/>
        <v>4590207</v>
      </c>
      <c r="D2112" s="61">
        <f t="shared" si="160"/>
        <v>1</v>
      </c>
      <c r="E2112" s="64">
        <f t="shared" si="162"/>
        <v>459.02069670114003</v>
      </c>
      <c r="F2112" s="62" t="str">
        <f t="shared" si="163"/>
        <v/>
      </c>
    </row>
    <row r="2113" spans="1:6">
      <c r="A2113" s="60">
        <v>210800</v>
      </c>
      <c r="B2113" s="60">
        <f t="shared" si="161"/>
        <v>4591296</v>
      </c>
      <c r="C2113" s="60">
        <f t="shared" si="164"/>
        <v>4591296</v>
      </c>
      <c r="D2113" s="61">
        <f t="shared" si="160"/>
        <v>1</v>
      </c>
      <c r="E2113" s="64">
        <f t="shared" si="162"/>
        <v>459.12961132995986</v>
      </c>
      <c r="F2113" s="62" t="str">
        <f t="shared" si="163"/>
        <v/>
      </c>
    </row>
    <row r="2114" spans="1:6">
      <c r="A2114" s="60">
        <v>210900</v>
      </c>
      <c r="B2114" s="60">
        <f t="shared" si="161"/>
        <v>4592385</v>
      </c>
      <c r="C2114" s="60">
        <f t="shared" si="164"/>
        <v>4592385</v>
      </c>
      <c r="D2114" s="61">
        <f t="shared" si="160"/>
        <v>1</v>
      </c>
      <c r="E2114" s="64">
        <f t="shared" si="162"/>
        <v>459.23850012820134</v>
      </c>
      <c r="F2114" s="62" t="str">
        <f t="shared" si="163"/>
        <v/>
      </c>
    </row>
    <row r="2115" spans="1:6">
      <c r="A2115" s="60">
        <v>211000</v>
      </c>
      <c r="B2115" s="60">
        <f t="shared" si="161"/>
        <v>4593474</v>
      </c>
      <c r="C2115" s="60">
        <f t="shared" si="164"/>
        <v>4593474</v>
      </c>
      <c r="D2115" s="61">
        <f t="shared" si="160"/>
        <v>1</v>
      </c>
      <c r="E2115" s="64">
        <f t="shared" si="162"/>
        <v>459.34736311423404</v>
      </c>
      <c r="F2115" s="62" t="str">
        <f t="shared" si="163"/>
        <v/>
      </c>
    </row>
    <row r="2116" spans="1:6">
      <c r="A2116" s="60">
        <v>211100</v>
      </c>
      <c r="B2116" s="60">
        <f t="shared" si="161"/>
        <v>4594562</v>
      </c>
      <c r="C2116" s="60">
        <f t="shared" si="164"/>
        <v>4594562</v>
      </c>
      <c r="D2116" s="61">
        <f t="shared" si="160"/>
        <v>1</v>
      </c>
      <c r="E2116" s="64">
        <f t="shared" si="162"/>
        <v>459.45620030640572</v>
      </c>
      <c r="F2116" s="62" t="str">
        <f t="shared" si="163"/>
        <v/>
      </c>
    </row>
    <row r="2117" spans="1:6">
      <c r="A2117" s="60">
        <v>211200</v>
      </c>
      <c r="B2117" s="60">
        <f t="shared" si="161"/>
        <v>4595650</v>
      </c>
      <c r="C2117" s="60">
        <f t="shared" si="164"/>
        <v>4595650</v>
      </c>
      <c r="D2117" s="61">
        <f t="shared" ref="D2117:D2180" si="165">(A2117-INDEX(兵力区间,MATCH(A2117,兵力区间,1)))/(INDEX(兵力区间,MATCH(A2117,兵力区间,1)+1)-INDEX(兵力区间,MATCH(A2117,兵力区间,1)))*((INDEX(兵力调节,MATCH(A2117,兵力区间,1)+1,2)-INDEX(兵力调节,MATCH(A2117,兵力区间,1),2)))+INDEX(兵力调节,MATCH(A2117,兵力区间,1),2)</f>
        <v>1</v>
      </c>
      <c r="E2117" s="64">
        <f t="shared" si="162"/>
        <v>459.56501172304229</v>
      </c>
      <c r="F2117" s="62" t="str">
        <f t="shared" si="163"/>
        <v/>
      </c>
    </row>
    <row r="2118" spans="1:6">
      <c r="A2118" s="60">
        <v>211300</v>
      </c>
      <c r="B2118" s="60">
        <f t="shared" si="161"/>
        <v>4596738</v>
      </c>
      <c r="C2118" s="60">
        <f t="shared" si="164"/>
        <v>4596738</v>
      </c>
      <c r="D2118" s="61">
        <f t="shared" si="165"/>
        <v>1</v>
      </c>
      <c r="E2118" s="64">
        <f t="shared" si="162"/>
        <v>459.67379738244813</v>
      </c>
      <c r="F2118" s="62" t="str">
        <f t="shared" si="163"/>
        <v/>
      </c>
    </row>
    <row r="2119" spans="1:6">
      <c r="A2119" s="60">
        <v>211400</v>
      </c>
      <c r="B2119" s="60">
        <f t="shared" ref="B2119:B2182" si="166">ROUND(D2119*E2119*10000,0)</f>
        <v>4597826</v>
      </c>
      <c r="C2119" s="60">
        <f t="shared" si="164"/>
        <v>4597826</v>
      </c>
      <c r="D2119" s="61">
        <f t="shared" si="165"/>
        <v>1</v>
      </c>
      <c r="E2119" s="64">
        <f t="shared" ref="E2119:E2182" si="167">A2119^0.5</f>
        <v>459.78255730290596</v>
      </c>
      <c r="F2119" s="62" t="str">
        <f t="shared" si="163"/>
        <v/>
      </c>
    </row>
    <row r="2120" spans="1:6">
      <c r="A2120" s="60">
        <v>211500</v>
      </c>
      <c r="B2120" s="60">
        <f t="shared" si="166"/>
        <v>4598913</v>
      </c>
      <c r="C2120" s="60">
        <f t="shared" si="164"/>
        <v>4598913</v>
      </c>
      <c r="D2120" s="61">
        <f t="shared" si="165"/>
        <v>1</v>
      </c>
      <c r="E2120" s="64">
        <f t="shared" si="167"/>
        <v>459.89129150267672</v>
      </c>
      <c r="F2120" s="62" t="str">
        <f t="shared" ref="F2120:F2183" si="168">IF(B2120&lt;B2119,1,"")</f>
        <v/>
      </c>
    </row>
    <row r="2121" spans="1:6">
      <c r="A2121" s="60">
        <v>211600</v>
      </c>
      <c r="B2121" s="60">
        <f t="shared" si="166"/>
        <v>4600000</v>
      </c>
      <c r="C2121" s="60">
        <f t="shared" si="164"/>
        <v>4600000</v>
      </c>
      <c r="D2121" s="61">
        <f t="shared" si="165"/>
        <v>1</v>
      </c>
      <c r="E2121" s="64">
        <f t="shared" si="167"/>
        <v>460</v>
      </c>
      <c r="F2121" s="62" t="str">
        <f t="shared" si="168"/>
        <v/>
      </c>
    </row>
    <row r="2122" spans="1:6">
      <c r="A2122" s="60">
        <v>211700</v>
      </c>
      <c r="B2122" s="60">
        <f t="shared" si="166"/>
        <v>4601087</v>
      </c>
      <c r="C2122" s="60">
        <f t="shared" si="164"/>
        <v>4601087</v>
      </c>
      <c r="D2122" s="61">
        <f t="shared" si="165"/>
        <v>1</v>
      </c>
      <c r="E2122" s="64">
        <f t="shared" si="167"/>
        <v>460.10868281309365</v>
      </c>
      <c r="F2122" s="62" t="str">
        <f t="shared" si="168"/>
        <v/>
      </c>
    </row>
    <row r="2123" spans="1:6">
      <c r="A2123" s="60">
        <v>211800</v>
      </c>
      <c r="B2123" s="60">
        <f t="shared" si="166"/>
        <v>4602173</v>
      </c>
      <c r="C2123" s="60">
        <f t="shared" ref="C2123:C2186" si="169">ROUND(D2123*E2123*10000,0)</f>
        <v>4602173</v>
      </c>
      <c r="D2123" s="61">
        <f t="shared" si="165"/>
        <v>1</v>
      </c>
      <c r="E2123" s="64">
        <f t="shared" si="167"/>
        <v>460.21733996015405</v>
      </c>
      <c r="F2123" s="62" t="str">
        <f t="shared" si="168"/>
        <v/>
      </c>
    </row>
    <row r="2124" spans="1:6">
      <c r="A2124" s="60">
        <v>211900</v>
      </c>
      <c r="B2124" s="60">
        <f t="shared" si="166"/>
        <v>4603260</v>
      </c>
      <c r="C2124" s="60">
        <f t="shared" si="169"/>
        <v>4603260</v>
      </c>
      <c r="D2124" s="61">
        <f t="shared" si="165"/>
        <v>1</v>
      </c>
      <c r="E2124" s="64">
        <f t="shared" si="167"/>
        <v>460.3259714593562</v>
      </c>
      <c r="F2124" s="62" t="str">
        <f t="shared" si="168"/>
        <v/>
      </c>
    </row>
    <row r="2125" spans="1:6">
      <c r="A2125" s="60">
        <v>212000</v>
      </c>
      <c r="B2125" s="60">
        <f t="shared" si="166"/>
        <v>4604346</v>
      </c>
      <c r="C2125" s="60">
        <f t="shared" si="169"/>
        <v>4604346</v>
      </c>
      <c r="D2125" s="61">
        <f t="shared" si="165"/>
        <v>1</v>
      </c>
      <c r="E2125" s="64">
        <f t="shared" si="167"/>
        <v>460.43457732885355</v>
      </c>
      <c r="F2125" s="62" t="str">
        <f t="shared" si="168"/>
        <v/>
      </c>
    </row>
    <row r="2126" spans="1:6">
      <c r="A2126" s="60">
        <v>212100</v>
      </c>
      <c r="B2126" s="60">
        <f t="shared" si="166"/>
        <v>4605432</v>
      </c>
      <c r="C2126" s="60">
        <f t="shared" si="169"/>
        <v>4605432</v>
      </c>
      <c r="D2126" s="61">
        <f t="shared" si="165"/>
        <v>1</v>
      </c>
      <c r="E2126" s="64">
        <f t="shared" si="167"/>
        <v>460.54315758677819</v>
      </c>
      <c r="F2126" s="62" t="str">
        <f t="shared" si="168"/>
        <v/>
      </c>
    </row>
    <row r="2127" spans="1:6">
      <c r="A2127" s="60">
        <v>212200</v>
      </c>
      <c r="B2127" s="60">
        <f t="shared" si="166"/>
        <v>4606517</v>
      </c>
      <c r="C2127" s="60">
        <f t="shared" si="169"/>
        <v>4606517</v>
      </c>
      <c r="D2127" s="61">
        <f t="shared" si="165"/>
        <v>1</v>
      </c>
      <c r="E2127" s="64">
        <f t="shared" si="167"/>
        <v>460.65171225124084</v>
      </c>
      <c r="F2127" s="62" t="str">
        <f t="shared" si="168"/>
        <v/>
      </c>
    </row>
    <row r="2128" spans="1:6">
      <c r="A2128" s="60">
        <v>212300</v>
      </c>
      <c r="B2128" s="60">
        <f t="shared" si="166"/>
        <v>4607602</v>
      </c>
      <c r="C2128" s="60">
        <f t="shared" si="169"/>
        <v>4607602</v>
      </c>
      <c r="D2128" s="61">
        <f t="shared" si="165"/>
        <v>1</v>
      </c>
      <c r="E2128" s="64">
        <f t="shared" si="167"/>
        <v>460.76024134033094</v>
      </c>
      <c r="F2128" s="62" t="str">
        <f t="shared" si="168"/>
        <v/>
      </c>
    </row>
    <row r="2129" spans="1:6">
      <c r="A2129" s="60">
        <v>212400</v>
      </c>
      <c r="B2129" s="60">
        <f t="shared" si="166"/>
        <v>4608687</v>
      </c>
      <c r="C2129" s="60">
        <f t="shared" si="169"/>
        <v>4608687</v>
      </c>
      <c r="D2129" s="61">
        <f t="shared" si="165"/>
        <v>1</v>
      </c>
      <c r="E2129" s="64">
        <f t="shared" si="167"/>
        <v>460.86874487211651</v>
      </c>
      <c r="F2129" s="62" t="str">
        <f t="shared" si="168"/>
        <v/>
      </c>
    </row>
    <row r="2130" spans="1:6">
      <c r="A2130" s="60">
        <v>212500</v>
      </c>
      <c r="B2130" s="60">
        <f t="shared" si="166"/>
        <v>4609772</v>
      </c>
      <c r="C2130" s="60">
        <f t="shared" si="169"/>
        <v>4609772</v>
      </c>
      <c r="D2130" s="61">
        <f t="shared" si="165"/>
        <v>1</v>
      </c>
      <c r="E2130" s="64">
        <f t="shared" si="167"/>
        <v>460.97722286464438</v>
      </c>
      <c r="F2130" s="62" t="str">
        <f t="shared" si="168"/>
        <v/>
      </c>
    </row>
    <row r="2131" spans="1:6">
      <c r="A2131" s="60">
        <v>212600</v>
      </c>
      <c r="B2131" s="60">
        <f t="shared" si="166"/>
        <v>4610857</v>
      </c>
      <c r="C2131" s="60">
        <f t="shared" si="169"/>
        <v>4610857</v>
      </c>
      <c r="D2131" s="61">
        <f t="shared" si="165"/>
        <v>1</v>
      </c>
      <c r="E2131" s="64">
        <f t="shared" si="167"/>
        <v>461.08567533594015</v>
      </c>
      <c r="F2131" s="62" t="str">
        <f t="shared" si="168"/>
        <v/>
      </c>
    </row>
    <row r="2132" spans="1:6">
      <c r="A2132" s="60">
        <v>212700</v>
      </c>
      <c r="B2132" s="60">
        <f t="shared" si="166"/>
        <v>4611941</v>
      </c>
      <c r="C2132" s="60">
        <f t="shared" si="169"/>
        <v>4611941</v>
      </c>
      <c r="D2132" s="61">
        <f t="shared" si="165"/>
        <v>1</v>
      </c>
      <c r="E2132" s="64">
        <f t="shared" si="167"/>
        <v>461.1941023040082</v>
      </c>
      <c r="F2132" s="62" t="str">
        <f t="shared" si="168"/>
        <v/>
      </c>
    </row>
    <row r="2133" spans="1:6">
      <c r="A2133" s="60">
        <v>212800</v>
      </c>
      <c r="B2133" s="60">
        <f t="shared" si="166"/>
        <v>4613025</v>
      </c>
      <c r="C2133" s="60">
        <f t="shared" si="169"/>
        <v>4613025</v>
      </c>
      <c r="D2133" s="61">
        <f t="shared" si="165"/>
        <v>1</v>
      </c>
      <c r="E2133" s="64">
        <f t="shared" si="167"/>
        <v>461.30250378683183</v>
      </c>
      <c r="F2133" s="62" t="str">
        <f t="shared" si="168"/>
        <v/>
      </c>
    </row>
    <row r="2134" spans="1:6">
      <c r="A2134" s="60">
        <v>212900</v>
      </c>
      <c r="B2134" s="60">
        <f t="shared" si="166"/>
        <v>4614109</v>
      </c>
      <c r="C2134" s="60">
        <f t="shared" si="169"/>
        <v>4614109</v>
      </c>
      <c r="D2134" s="61">
        <f t="shared" si="165"/>
        <v>1</v>
      </c>
      <c r="E2134" s="64">
        <f t="shared" si="167"/>
        <v>461.41087980237313</v>
      </c>
      <c r="F2134" s="62" t="str">
        <f t="shared" si="168"/>
        <v/>
      </c>
    </row>
    <row r="2135" spans="1:6">
      <c r="A2135" s="60">
        <v>213000</v>
      </c>
      <c r="B2135" s="60">
        <f t="shared" si="166"/>
        <v>4615192</v>
      </c>
      <c r="C2135" s="60">
        <f t="shared" si="169"/>
        <v>4615192</v>
      </c>
      <c r="D2135" s="61">
        <f t="shared" si="165"/>
        <v>1</v>
      </c>
      <c r="E2135" s="64">
        <f t="shared" si="167"/>
        <v>461.51923036857306</v>
      </c>
      <c r="F2135" s="62" t="str">
        <f t="shared" si="168"/>
        <v/>
      </c>
    </row>
    <row r="2136" spans="1:6">
      <c r="A2136" s="60">
        <v>213100</v>
      </c>
      <c r="B2136" s="60">
        <f t="shared" si="166"/>
        <v>4616276</v>
      </c>
      <c r="C2136" s="60">
        <f t="shared" si="169"/>
        <v>4616276</v>
      </c>
      <c r="D2136" s="61">
        <f t="shared" si="165"/>
        <v>1</v>
      </c>
      <c r="E2136" s="64">
        <f t="shared" si="167"/>
        <v>461.62755550335163</v>
      </c>
      <c r="F2136" s="62" t="str">
        <f t="shared" si="168"/>
        <v/>
      </c>
    </row>
    <row r="2137" spans="1:6">
      <c r="A2137" s="60">
        <v>213200</v>
      </c>
      <c r="B2137" s="60">
        <f t="shared" si="166"/>
        <v>4617359</v>
      </c>
      <c r="C2137" s="60">
        <f t="shared" si="169"/>
        <v>4617359</v>
      </c>
      <c r="D2137" s="61">
        <f t="shared" si="165"/>
        <v>1</v>
      </c>
      <c r="E2137" s="64">
        <f t="shared" si="167"/>
        <v>461.7358552246078</v>
      </c>
      <c r="F2137" s="62" t="str">
        <f t="shared" si="168"/>
        <v/>
      </c>
    </row>
    <row r="2138" spans="1:6">
      <c r="A2138" s="60">
        <v>213300</v>
      </c>
      <c r="B2138" s="60">
        <f t="shared" si="166"/>
        <v>4618441</v>
      </c>
      <c r="C2138" s="60">
        <f t="shared" si="169"/>
        <v>4618441</v>
      </c>
      <c r="D2138" s="61">
        <f t="shared" si="165"/>
        <v>1</v>
      </c>
      <c r="E2138" s="64">
        <f t="shared" si="167"/>
        <v>461.84412955021958</v>
      </c>
      <c r="F2138" s="62" t="str">
        <f t="shared" si="168"/>
        <v/>
      </c>
    </row>
    <row r="2139" spans="1:6">
      <c r="A2139" s="60">
        <v>213400</v>
      </c>
      <c r="B2139" s="60">
        <f t="shared" si="166"/>
        <v>4619524</v>
      </c>
      <c r="C2139" s="60">
        <f t="shared" si="169"/>
        <v>4619524</v>
      </c>
      <c r="D2139" s="61">
        <f t="shared" si="165"/>
        <v>1</v>
      </c>
      <c r="E2139" s="64">
        <f t="shared" si="167"/>
        <v>461.95237849804391</v>
      </c>
      <c r="F2139" s="62" t="str">
        <f t="shared" si="168"/>
        <v/>
      </c>
    </row>
    <row r="2140" spans="1:6">
      <c r="A2140" s="60">
        <v>213500</v>
      </c>
      <c r="B2140" s="60">
        <f t="shared" si="166"/>
        <v>4620606</v>
      </c>
      <c r="C2140" s="60">
        <f t="shared" si="169"/>
        <v>4620606</v>
      </c>
      <c r="D2140" s="61">
        <f t="shared" si="165"/>
        <v>1</v>
      </c>
      <c r="E2140" s="64">
        <f t="shared" si="167"/>
        <v>462.06060208591686</v>
      </c>
      <c r="F2140" s="62" t="str">
        <f t="shared" si="168"/>
        <v/>
      </c>
    </row>
    <row r="2141" spans="1:6">
      <c r="A2141" s="60">
        <v>213600</v>
      </c>
      <c r="B2141" s="60">
        <f t="shared" si="166"/>
        <v>4621688</v>
      </c>
      <c r="C2141" s="60">
        <f t="shared" si="169"/>
        <v>4621688</v>
      </c>
      <c r="D2141" s="61">
        <f t="shared" si="165"/>
        <v>1</v>
      </c>
      <c r="E2141" s="64">
        <f t="shared" si="167"/>
        <v>462.1688003316537</v>
      </c>
      <c r="F2141" s="62" t="str">
        <f t="shared" si="168"/>
        <v/>
      </c>
    </row>
    <row r="2142" spans="1:6">
      <c r="A2142" s="60">
        <v>213700</v>
      </c>
      <c r="B2142" s="60">
        <f t="shared" si="166"/>
        <v>4622770</v>
      </c>
      <c r="C2142" s="60">
        <f t="shared" si="169"/>
        <v>4622770</v>
      </c>
      <c r="D2142" s="61">
        <f t="shared" si="165"/>
        <v>1</v>
      </c>
      <c r="E2142" s="64">
        <f t="shared" si="167"/>
        <v>462.27697325304882</v>
      </c>
      <c r="F2142" s="62" t="str">
        <f t="shared" si="168"/>
        <v/>
      </c>
    </row>
    <row r="2143" spans="1:6">
      <c r="A2143" s="60">
        <v>213800</v>
      </c>
      <c r="B2143" s="60">
        <f t="shared" si="166"/>
        <v>4623851</v>
      </c>
      <c r="C2143" s="60">
        <f t="shared" si="169"/>
        <v>4623851</v>
      </c>
      <c r="D2143" s="61">
        <f t="shared" si="165"/>
        <v>1</v>
      </c>
      <c r="E2143" s="64">
        <f t="shared" si="167"/>
        <v>462.38512086787568</v>
      </c>
      <c r="F2143" s="62" t="str">
        <f t="shared" si="168"/>
        <v/>
      </c>
    </row>
    <row r="2144" spans="1:6">
      <c r="A2144" s="60">
        <v>213900</v>
      </c>
      <c r="B2144" s="60">
        <f t="shared" si="166"/>
        <v>4624932</v>
      </c>
      <c r="C2144" s="60">
        <f t="shared" si="169"/>
        <v>4624932</v>
      </c>
      <c r="D2144" s="61">
        <f t="shared" si="165"/>
        <v>1</v>
      </c>
      <c r="E2144" s="64">
        <f t="shared" si="167"/>
        <v>462.49324319388711</v>
      </c>
      <c r="F2144" s="62" t="str">
        <f t="shared" si="168"/>
        <v/>
      </c>
    </row>
    <row r="2145" spans="1:6">
      <c r="A2145" s="60">
        <v>214000</v>
      </c>
      <c r="B2145" s="60">
        <f t="shared" si="166"/>
        <v>4626013</v>
      </c>
      <c r="C2145" s="60">
        <f t="shared" si="169"/>
        <v>4626013</v>
      </c>
      <c r="D2145" s="61">
        <f t="shared" si="165"/>
        <v>1</v>
      </c>
      <c r="E2145" s="64">
        <f t="shared" si="167"/>
        <v>462.60134024881512</v>
      </c>
      <c r="F2145" s="62" t="str">
        <f t="shared" si="168"/>
        <v/>
      </c>
    </row>
    <row r="2146" spans="1:6">
      <c r="A2146" s="60">
        <v>214100</v>
      </c>
      <c r="B2146" s="60">
        <f t="shared" si="166"/>
        <v>4627094</v>
      </c>
      <c r="C2146" s="60">
        <f t="shared" si="169"/>
        <v>4627094</v>
      </c>
      <c r="D2146" s="61">
        <f t="shared" si="165"/>
        <v>1</v>
      </c>
      <c r="E2146" s="64">
        <f t="shared" si="167"/>
        <v>462.70941205037099</v>
      </c>
      <c r="F2146" s="62" t="str">
        <f t="shared" si="168"/>
        <v/>
      </c>
    </row>
    <row r="2147" spans="1:6">
      <c r="A2147" s="60">
        <v>214200</v>
      </c>
      <c r="B2147" s="60">
        <f t="shared" si="166"/>
        <v>4628175</v>
      </c>
      <c r="C2147" s="60">
        <f t="shared" si="169"/>
        <v>4628175</v>
      </c>
      <c r="D2147" s="61">
        <f t="shared" si="165"/>
        <v>1</v>
      </c>
      <c r="E2147" s="64">
        <f t="shared" si="167"/>
        <v>462.81745861624535</v>
      </c>
      <c r="F2147" s="62" t="str">
        <f t="shared" si="168"/>
        <v/>
      </c>
    </row>
    <row r="2148" spans="1:6">
      <c r="A2148" s="60">
        <v>214300</v>
      </c>
      <c r="B2148" s="60">
        <f t="shared" si="166"/>
        <v>4629255</v>
      </c>
      <c r="C2148" s="60">
        <f t="shared" si="169"/>
        <v>4629255</v>
      </c>
      <c r="D2148" s="61">
        <f t="shared" si="165"/>
        <v>1</v>
      </c>
      <c r="E2148" s="64">
        <f t="shared" si="167"/>
        <v>462.92547996410826</v>
      </c>
      <c r="F2148" s="62" t="str">
        <f t="shared" si="168"/>
        <v/>
      </c>
    </row>
    <row r="2149" spans="1:6">
      <c r="A2149" s="60">
        <v>214400</v>
      </c>
      <c r="B2149" s="60">
        <f t="shared" si="166"/>
        <v>4630335</v>
      </c>
      <c r="C2149" s="60">
        <f t="shared" si="169"/>
        <v>4630335</v>
      </c>
      <c r="D2149" s="61">
        <f t="shared" si="165"/>
        <v>1</v>
      </c>
      <c r="E2149" s="64">
        <f t="shared" si="167"/>
        <v>463.03347611160899</v>
      </c>
      <c r="F2149" s="62" t="str">
        <f t="shared" si="168"/>
        <v/>
      </c>
    </row>
    <row r="2150" spans="1:6">
      <c r="A2150" s="60">
        <v>214500</v>
      </c>
      <c r="B2150" s="60">
        <f t="shared" si="166"/>
        <v>4631414</v>
      </c>
      <c r="C2150" s="60">
        <f t="shared" si="169"/>
        <v>4631414</v>
      </c>
      <c r="D2150" s="61">
        <f t="shared" si="165"/>
        <v>1</v>
      </c>
      <c r="E2150" s="64">
        <f t="shared" si="167"/>
        <v>463.14144707637644</v>
      </c>
      <c r="F2150" s="62" t="str">
        <f t="shared" si="168"/>
        <v/>
      </c>
    </row>
    <row r="2151" spans="1:6">
      <c r="A2151" s="60">
        <v>214600</v>
      </c>
      <c r="B2151" s="60">
        <f t="shared" si="166"/>
        <v>4632494</v>
      </c>
      <c r="C2151" s="60">
        <f t="shared" si="169"/>
        <v>4632494</v>
      </c>
      <c r="D2151" s="61">
        <f t="shared" si="165"/>
        <v>1</v>
      </c>
      <c r="E2151" s="64">
        <f t="shared" si="167"/>
        <v>463.24939287601876</v>
      </c>
      <c r="F2151" s="62" t="str">
        <f t="shared" si="168"/>
        <v/>
      </c>
    </row>
    <row r="2152" spans="1:6">
      <c r="A2152" s="60">
        <v>214700</v>
      </c>
      <c r="B2152" s="60">
        <f t="shared" si="166"/>
        <v>4633573</v>
      </c>
      <c r="C2152" s="60">
        <f t="shared" si="169"/>
        <v>4633573</v>
      </c>
      <c r="D2152" s="61">
        <f t="shared" si="165"/>
        <v>1</v>
      </c>
      <c r="E2152" s="64">
        <f t="shared" si="167"/>
        <v>463.35731352812377</v>
      </c>
      <c r="F2152" s="62" t="str">
        <f t="shared" si="168"/>
        <v/>
      </c>
    </row>
    <row r="2153" spans="1:6">
      <c r="A2153" s="60">
        <v>214800</v>
      </c>
      <c r="B2153" s="60">
        <f t="shared" si="166"/>
        <v>4634652</v>
      </c>
      <c r="C2153" s="60">
        <f t="shared" si="169"/>
        <v>4634652</v>
      </c>
      <c r="D2153" s="61">
        <f t="shared" si="165"/>
        <v>1</v>
      </c>
      <c r="E2153" s="64">
        <f t="shared" si="167"/>
        <v>463.46520905025869</v>
      </c>
      <c r="F2153" s="62" t="str">
        <f t="shared" si="168"/>
        <v/>
      </c>
    </row>
    <row r="2154" spans="1:6">
      <c r="A2154" s="60">
        <v>214900</v>
      </c>
      <c r="B2154" s="60">
        <f t="shared" si="166"/>
        <v>4635731</v>
      </c>
      <c r="C2154" s="60">
        <f t="shared" si="169"/>
        <v>4635731</v>
      </c>
      <c r="D2154" s="61">
        <f t="shared" si="165"/>
        <v>1</v>
      </c>
      <c r="E2154" s="64">
        <f t="shared" si="167"/>
        <v>463.57307945997036</v>
      </c>
      <c r="F2154" s="62" t="str">
        <f t="shared" si="168"/>
        <v/>
      </c>
    </row>
    <row r="2155" spans="1:6">
      <c r="A2155" s="60">
        <v>215000</v>
      </c>
      <c r="B2155" s="60">
        <f t="shared" si="166"/>
        <v>4636809</v>
      </c>
      <c r="C2155" s="60">
        <f t="shared" si="169"/>
        <v>4636809</v>
      </c>
      <c r="D2155" s="61">
        <f t="shared" si="165"/>
        <v>1</v>
      </c>
      <c r="E2155" s="64">
        <f t="shared" si="167"/>
        <v>463.68092477478518</v>
      </c>
      <c r="F2155" s="62" t="str">
        <f t="shared" si="168"/>
        <v/>
      </c>
    </row>
    <row r="2156" spans="1:6">
      <c r="A2156" s="60">
        <v>215100</v>
      </c>
      <c r="B2156" s="60">
        <f t="shared" si="166"/>
        <v>4637887</v>
      </c>
      <c r="C2156" s="60">
        <f t="shared" si="169"/>
        <v>4637887</v>
      </c>
      <c r="D2156" s="61">
        <f t="shared" si="165"/>
        <v>1</v>
      </c>
      <c r="E2156" s="64">
        <f t="shared" si="167"/>
        <v>463.78874501220918</v>
      </c>
      <c r="F2156" s="62" t="str">
        <f t="shared" si="168"/>
        <v/>
      </c>
    </row>
    <row r="2157" spans="1:6">
      <c r="A2157" s="60">
        <v>215200</v>
      </c>
      <c r="B2157" s="60">
        <f t="shared" si="166"/>
        <v>4638965</v>
      </c>
      <c r="C2157" s="60">
        <f t="shared" si="169"/>
        <v>4638965</v>
      </c>
      <c r="D2157" s="61">
        <f t="shared" si="165"/>
        <v>1</v>
      </c>
      <c r="E2157" s="64">
        <f t="shared" si="167"/>
        <v>463.89654018972806</v>
      </c>
      <c r="F2157" s="62" t="str">
        <f t="shared" si="168"/>
        <v/>
      </c>
    </row>
    <row r="2158" spans="1:6">
      <c r="A2158" s="60">
        <v>215300</v>
      </c>
      <c r="B2158" s="60">
        <f t="shared" si="166"/>
        <v>4640043</v>
      </c>
      <c r="C2158" s="60">
        <f t="shared" si="169"/>
        <v>4640043</v>
      </c>
      <c r="D2158" s="61">
        <f t="shared" si="165"/>
        <v>1</v>
      </c>
      <c r="E2158" s="64">
        <f t="shared" si="167"/>
        <v>464.00431032480719</v>
      </c>
      <c r="F2158" s="62" t="str">
        <f t="shared" si="168"/>
        <v/>
      </c>
    </row>
    <row r="2159" spans="1:6">
      <c r="A2159" s="60">
        <v>215400</v>
      </c>
      <c r="B2159" s="60">
        <f t="shared" si="166"/>
        <v>4641121</v>
      </c>
      <c r="C2159" s="60">
        <f t="shared" si="169"/>
        <v>4641121</v>
      </c>
      <c r="D2159" s="61">
        <f t="shared" si="165"/>
        <v>1</v>
      </c>
      <c r="E2159" s="64">
        <f t="shared" si="167"/>
        <v>464.11205543489172</v>
      </c>
      <c r="F2159" s="62" t="str">
        <f t="shared" si="168"/>
        <v/>
      </c>
    </row>
    <row r="2160" spans="1:6">
      <c r="A2160" s="60">
        <v>215500</v>
      </c>
      <c r="B2160" s="60">
        <f t="shared" si="166"/>
        <v>4642198</v>
      </c>
      <c r="C2160" s="60">
        <f t="shared" si="169"/>
        <v>4642198</v>
      </c>
      <c r="D2160" s="61">
        <f t="shared" si="165"/>
        <v>1</v>
      </c>
      <c r="E2160" s="64">
        <f t="shared" si="167"/>
        <v>464.21977553740641</v>
      </c>
      <c r="F2160" s="62" t="str">
        <f t="shared" si="168"/>
        <v/>
      </c>
    </row>
    <row r="2161" spans="1:6">
      <c r="A2161" s="60">
        <v>215600</v>
      </c>
      <c r="B2161" s="60">
        <f t="shared" si="166"/>
        <v>4643275</v>
      </c>
      <c r="C2161" s="60">
        <f t="shared" si="169"/>
        <v>4643275</v>
      </c>
      <c r="D2161" s="61">
        <f t="shared" si="165"/>
        <v>1</v>
      </c>
      <c r="E2161" s="64">
        <f t="shared" si="167"/>
        <v>464.32747064975598</v>
      </c>
      <c r="F2161" s="62" t="str">
        <f t="shared" si="168"/>
        <v/>
      </c>
    </row>
    <row r="2162" spans="1:6">
      <c r="A2162" s="60">
        <v>215700</v>
      </c>
      <c r="B2162" s="60">
        <f t="shared" si="166"/>
        <v>4644351</v>
      </c>
      <c r="C2162" s="60">
        <f t="shared" si="169"/>
        <v>4644351</v>
      </c>
      <c r="D2162" s="61">
        <f t="shared" si="165"/>
        <v>1</v>
      </c>
      <c r="E2162" s="64">
        <f t="shared" si="167"/>
        <v>464.43514078932486</v>
      </c>
      <c r="F2162" s="62" t="str">
        <f t="shared" si="168"/>
        <v/>
      </c>
    </row>
    <row r="2163" spans="1:6">
      <c r="A2163" s="60">
        <v>215800</v>
      </c>
      <c r="B2163" s="60">
        <f t="shared" si="166"/>
        <v>4645428</v>
      </c>
      <c r="C2163" s="60">
        <f t="shared" si="169"/>
        <v>4645428</v>
      </c>
      <c r="D2163" s="61">
        <f t="shared" si="165"/>
        <v>1</v>
      </c>
      <c r="E2163" s="64">
        <f t="shared" si="167"/>
        <v>464.54278597347735</v>
      </c>
      <c r="F2163" s="62" t="str">
        <f t="shared" si="168"/>
        <v/>
      </c>
    </row>
    <row r="2164" spans="1:6">
      <c r="A2164" s="60">
        <v>215900</v>
      </c>
      <c r="B2164" s="60">
        <f t="shared" si="166"/>
        <v>4646504</v>
      </c>
      <c r="C2164" s="60">
        <f t="shared" si="169"/>
        <v>4646504</v>
      </c>
      <c r="D2164" s="61">
        <f t="shared" si="165"/>
        <v>1</v>
      </c>
      <c r="E2164" s="64">
        <f t="shared" si="167"/>
        <v>464.65040621955774</v>
      </c>
      <c r="F2164" s="62" t="str">
        <f t="shared" si="168"/>
        <v/>
      </c>
    </row>
    <row r="2165" spans="1:6">
      <c r="A2165" s="60">
        <v>216000</v>
      </c>
      <c r="B2165" s="60">
        <f t="shared" si="166"/>
        <v>4647580</v>
      </c>
      <c r="C2165" s="60">
        <f t="shared" si="169"/>
        <v>4647580</v>
      </c>
      <c r="D2165" s="61">
        <f t="shared" si="165"/>
        <v>1</v>
      </c>
      <c r="E2165" s="64">
        <f t="shared" si="167"/>
        <v>464.75800154489002</v>
      </c>
      <c r="F2165" s="62" t="str">
        <f t="shared" si="168"/>
        <v/>
      </c>
    </row>
    <row r="2166" spans="1:6">
      <c r="A2166" s="60">
        <v>216100</v>
      </c>
      <c r="B2166" s="60">
        <f t="shared" si="166"/>
        <v>4648656</v>
      </c>
      <c r="C2166" s="60">
        <f t="shared" si="169"/>
        <v>4648656</v>
      </c>
      <c r="D2166" s="61">
        <f t="shared" si="165"/>
        <v>1</v>
      </c>
      <c r="E2166" s="64">
        <f t="shared" si="167"/>
        <v>464.86557196677836</v>
      </c>
      <c r="F2166" s="62" t="str">
        <f t="shared" si="168"/>
        <v/>
      </c>
    </row>
    <row r="2167" spans="1:6">
      <c r="A2167" s="60">
        <v>216200</v>
      </c>
      <c r="B2167" s="60">
        <f t="shared" si="166"/>
        <v>4649731</v>
      </c>
      <c r="C2167" s="60">
        <f t="shared" si="169"/>
        <v>4649731</v>
      </c>
      <c r="D2167" s="61">
        <f t="shared" si="165"/>
        <v>1</v>
      </c>
      <c r="E2167" s="64">
        <f t="shared" si="167"/>
        <v>464.9731175025068</v>
      </c>
      <c r="F2167" s="62" t="str">
        <f t="shared" si="168"/>
        <v/>
      </c>
    </row>
    <row r="2168" spans="1:6">
      <c r="A2168" s="60">
        <v>216300</v>
      </c>
      <c r="B2168" s="60">
        <f t="shared" si="166"/>
        <v>4650806</v>
      </c>
      <c r="C2168" s="60">
        <f t="shared" si="169"/>
        <v>4650806</v>
      </c>
      <c r="D2168" s="61">
        <f t="shared" si="165"/>
        <v>1</v>
      </c>
      <c r="E2168" s="64">
        <f t="shared" si="167"/>
        <v>465.08063816933941</v>
      </c>
      <c r="F2168" s="62" t="str">
        <f t="shared" si="168"/>
        <v/>
      </c>
    </row>
    <row r="2169" spans="1:6">
      <c r="A2169" s="60">
        <v>216400</v>
      </c>
      <c r="B2169" s="60">
        <f t="shared" si="166"/>
        <v>4651881</v>
      </c>
      <c r="C2169" s="60">
        <f t="shared" si="169"/>
        <v>4651881</v>
      </c>
      <c r="D2169" s="61">
        <f t="shared" si="165"/>
        <v>1</v>
      </c>
      <c r="E2169" s="64">
        <f t="shared" si="167"/>
        <v>465.18813398452028</v>
      </c>
      <c r="F2169" s="62" t="str">
        <f t="shared" si="168"/>
        <v/>
      </c>
    </row>
    <row r="2170" spans="1:6">
      <c r="A2170" s="60">
        <v>216500</v>
      </c>
      <c r="B2170" s="60">
        <f t="shared" si="166"/>
        <v>4652956</v>
      </c>
      <c r="C2170" s="60">
        <f t="shared" si="169"/>
        <v>4652956</v>
      </c>
      <c r="D2170" s="61">
        <f t="shared" si="165"/>
        <v>1</v>
      </c>
      <c r="E2170" s="64">
        <f t="shared" si="167"/>
        <v>465.29560496527364</v>
      </c>
      <c r="F2170" s="62" t="str">
        <f t="shared" si="168"/>
        <v/>
      </c>
    </row>
    <row r="2171" spans="1:6">
      <c r="A2171" s="60">
        <v>216600</v>
      </c>
      <c r="B2171" s="60">
        <f t="shared" si="166"/>
        <v>4654031</v>
      </c>
      <c r="C2171" s="60">
        <f t="shared" si="169"/>
        <v>4654031</v>
      </c>
      <c r="D2171" s="61">
        <f t="shared" si="165"/>
        <v>1</v>
      </c>
      <c r="E2171" s="64">
        <f t="shared" si="167"/>
        <v>465.40305112880384</v>
      </c>
      <c r="F2171" s="62" t="str">
        <f t="shared" si="168"/>
        <v/>
      </c>
    </row>
    <row r="2172" spans="1:6">
      <c r="A2172" s="60">
        <v>216700</v>
      </c>
      <c r="B2172" s="60">
        <f t="shared" si="166"/>
        <v>4655105</v>
      </c>
      <c r="C2172" s="60">
        <f t="shared" si="169"/>
        <v>4655105</v>
      </c>
      <c r="D2172" s="61">
        <f t="shared" si="165"/>
        <v>1</v>
      </c>
      <c r="E2172" s="64">
        <f t="shared" si="167"/>
        <v>465.51047249229526</v>
      </c>
      <c r="F2172" s="62" t="str">
        <f t="shared" si="168"/>
        <v/>
      </c>
    </row>
    <row r="2173" spans="1:6">
      <c r="A2173" s="60">
        <v>216800</v>
      </c>
      <c r="B2173" s="60">
        <f t="shared" si="166"/>
        <v>4656179</v>
      </c>
      <c r="C2173" s="60">
        <f t="shared" si="169"/>
        <v>4656179</v>
      </c>
      <c r="D2173" s="61">
        <f t="shared" si="165"/>
        <v>1</v>
      </c>
      <c r="E2173" s="64">
        <f t="shared" si="167"/>
        <v>465.61786907291264</v>
      </c>
      <c r="F2173" s="62" t="str">
        <f t="shared" si="168"/>
        <v/>
      </c>
    </row>
    <row r="2174" spans="1:6">
      <c r="A2174" s="60">
        <v>216900</v>
      </c>
      <c r="B2174" s="60">
        <f t="shared" si="166"/>
        <v>4657252</v>
      </c>
      <c r="C2174" s="60">
        <f t="shared" si="169"/>
        <v>4657252</v>
      </c>
      <c r="D2174" s="61">
        <f t="shared" si="165"/>
        <v>1</v>
      </c>
      <c r="E2174" s="64">
        <f t="shared" si="167"/>
        <v>465.72524088780074</v>
      </c>
      <c r="F2174" s="62" t="str">
        <f t="shared" si="168"/>
        <v/>
      </c>
    </row>
    <row r="2175" spans="1:6">
      <c r="A2175" s="60">
        <v>217000</v>
      </c>
      <c r="B2175" s="60">
        <f t="shared" si="166"/>
        <v>4658326</v>
      </c>
      <c r="C2175" s="60">
        <f t="shared" si="169"/>
        <v>4658326</v>
      </c>
      <c r="D2175" s="61">
        <f t="shared" si="165"/>
        <v>1</v>
      </c>
      <c r="E2175" s="64">
        <f t="shared" si="167"/>
        <v>465.83258795408466</v>
      </c>
      <c r="F2175" s="62" t="str">
        <f t="shared" si="168"/>
        <v/>
      </c>
    </row>
    <row r="2176" spans="1:6">
      <c r="A2176" s="60">
        <v>217100</v>
      </c>
      <c r="B2176" s="60">
        <f t="shared" si="166"/>
        <v>4659399</v>
      </c>
      <c r="C2176" s="60">
        <f t="shared" si="169"/>
        <v>4659399</v>
      </c>
      <c r="D2176" s="61">
        <f t="shared" si="165"/>
        <v>1</v>
      </c>
      <c r="E2176" s="64">
        <f t="shared" si="167"/>
        <v>465.93991028886978</v>
      </c>
      <c r="F2176" s="62" t="str">
        <f t="shared" si="168"/>
        <v/>
      </c>
    </row>
    <row r="2177" spans="1:6">
      <c r="A2177" s="60">
        <v>217200</v>
      </c>
      <c r="B2177" s="60">
        <f t="shared" si="166"/>
        <v>4660472</v>
      </c>
      <c r="C2177" s="60">
        <f t="shared" si="169"/>
        <v>4660472</v>
      </c>
      <c r="D2177" s="61">
        <f t="shared" si="165"/>
        <v>1</v>
      </c>
      <c r="E2177" s="64">
        <f t="shared" si="167"/>
        <v>466.04720790924176</v>
      </c>
      <c r="F2177" s="62" t="str">
        <f t="shared" si="168"/>
        <v/>
      </c>
    </row>
    <row r="2178" spans="1:6">
      <c r="A2178" s="60">
        <v>217300</v>
      </c>
      <c r="B2178" s="60">
        <f t="shared" si="166"/>
        <v>4661545</v>
      </c>
      <c r="C2178" s="60">
        <f t="shared" si="169"/>
        <v>4661545</v>
      </c>
      <c r="D2178" s="61">
        <f t="shared" si="165"/>
        <v>1</v>
      </c>
      <c r="E2178" s="64">
        <f t="shared" si="167"/>
        <v>466.15448083226659</v>
      </c>
      <c r="F2178" s="62" t="str">
        <f t="shared" si="168"/>
        <v/>
      </c>
    </row>
    <row r="2179" spans="1:6">
      <c r="A2179" s="60">
        <v>217400</v>
      </c>
      <c r="B2179" s="60">
        <f t="shared" si="166"/>
        <v>4662617</v>
      </c>
      <c r="C2179" s="60">
        <f t="shared" si="169"/>
        <v>4662617</v>
      </c>
      <c r="D2179" s="61">
        <f t="shared" si="165"/>
        <v>1</v>
      </c>
      <c r="E2179" s="64">
        <f t="shared" si="167"/>
        <v>466.26172907499068</v>
      </c>
      <c r="F2179" s="62" t="str">
        <f t="shared" si="168"/>
        <v/>
      </c>
    </row>
    <row r="2180" spans="1:6">
      <c r="A2180" s="60">
        <v>217500</v>
      </c>
      <c r="B2180" s="60">
        <f t="shared" si="166"/>
        <v>4663690</v>
      </c>
      <c r="C2180" s="60">
        <f t="shared" si="169"/>
        <v>4663690</v>
      </c>
      <c r="D2180" s="61">
        <f t="shared" si="165"/>
        <v>1</v>
      </c>
      <c r="E2180" s="64">
        <f t="shared" si="167"/>
        <v>466.36895265444076</v>
      </c>
      <c r="F2180" s="62" t="str">
        <f t="shared" si="168"/>
        <v/>
      </c>
    </row>
    <row r="2181" spans="1:6">
      <c r="A2181" s="60">
        <v>217600</v>
      </c>
      <c r="B2181" s="60">
        <f t="shared" si="166"/>
        <v>4664762</v>
      </c>
      <c r="C2181" s="60">
        <f t="shared" si="169"/>
        <v>4664762</v>
      </c>
      <c r="D2181" s="61">
        <f t="shared" ref="D2181:D2244" si="170">(A2181-INDEX(兵力区间,MATCH(A2181,兵力区间,1)))/(INDEX(兵力区间,MATCH(A2181,兵力区间,1)+1)-INDEX(兵力区间,MATCH(A2181,兵力区间,1)))*((INDEX(兵力调节,MATCH(A2181,兵力区间,1)+1,2)-INDEX(兵力调节,MATCH(A2181,兵力区间,1),2)))+INDEX(兵力调节,MATCH(A2181,兵力区间,1),2)</f>
        <v>1</v>
      </c>
      <c r="E2181" s="64">
        <f t="shared" si="167"/>
        <v>466.47615158762403</v>
      </c>
      <c r="F2181" s="62" t="str">
        <f t="shared" si="168"/>
        <v/>
      </c>
    </row>
    <row r="2182" spans="1:6">
      <c r="A2182" s="60">
        <v>217700</v>
      </c>
      <c r="B2182" s="60">
        <f t="shared" si="166"/>
        <v>4665833</v>
      </c>
      <c r="C2182" s="60">
        <f t="shared" si="169"/>
        <v>4665833</v>
      </c>
      <c r="D2182" s="61">
        <f t="shared" si="170"/>
        <v>1</v>
      </c>
      <c r="E2182" s="64">
        <f t="shared" si="167"/>
        <v>466.5833258915282</v>
      </c>
      <c r="F2182" s="62" t="str">
        <f t="shared" si="168"/>
        <v/>
      </c>
    </row>
    <row r="2183" spans="1:6">
      <c r="A2183" s="60">
        <v>217800</v>
      </c>
      <c r="B2183" s="60">
        <f t="shared" ref="B2183:B2246" si="171">ROUND(D2183*E2183*10000,0)</f>
        <v>4666905</v>
      </c>
      <c r="C2183" s="60">
        <f t="shared" si="169"/>
        <v>4666905</v>
      </c>
      <c r="D2183" s="61">
        <f t="shared" si="170"/>
        <v>1</v>
      </c>
      <c r="E2183" s="64">
        <f t="shared" ref="E2183:E2246" si="172">A2183^0.5</f>
        <v>466.69047558312138</v>
      </c>
      <c r="F2183" s="62" t="str">
        <f t="shared" si="168"/>
        <v/>
      </c>
    </row>
    <row r="2184" spans="1:6">
      <c r="A2184" s="60">
        <v>217900</v>
      </c>
      <c r="B2184" s="60">
        <f t="shared" si="171"/>
        <v>4667976</v>
      </c>
      <c r="C2184" s="60">
        <f t="shared" si="169"/>
        <v>4667976</v>
      </c>
      <c r="D2184" s="61">
        <f t="shared" si="170"/>
        <v>1</v>
      </c>
      <c r="E2184" s="64">
        <f t="shared" si="172"/>
        <v>466.79760067935223</v>
      </c>
      <c r="F2184" s="62" t="str">
        <f t="shared" ref="F2184:F2247" si="173">IF(B2184&lt;B2183,1,"")</f>
        <v/>
      </c>
    </row>
    <row r="2185" spans="1:6">
      <c r="A2185" s="60">
        <v>218000</v>
      </c>
      <c r="B2185" s="60">
        <f t="shared" si="171"/>
        <v>4669047</v>
      </c>
      <c r="C2185" s="60">
        <f t="shared" si="169"/>
        <v>4669047</v>
      </c>
      <c r="D2185" s="61">
        <f t="shared" si="170"/>
        <v>1</v>
      </c>
      <c r="E2185" s="64">
        <f t="shared" si="172"/>
        <v>466.90470119715008</v>
      </c>
      <c r="F2185" s="62" t="str">
        <f t="shared" si="173"/>
        <v/>
      </c>
    </row>
    <row r="2186" spans="1:6">
      <c r="A2186" s="60">
        <v>218100</v>
      </c>
      <c r="B2186" s="60">
        <f t="shared" si="171"/>
        <v>4670118</v>
      </c>
      <c r="C2186" s="60">
        <f t="shared" si="169"/>
        <v>4670118</v>
      </c>
      <c r="D2186" s="61">
        <f t="shared" si="170"/>
        <v>1</v>
      </c>
      <c r="E2186" s="64">
        <f t="shared" si="172"/>
        <v>467.0117771534247</v>
      </c>
      <c r="F2186" s="62" t="str">
        <f t="shared" si="173"/>
        <v/>
      </c>
    </row>
    <row r="2187" spans="1:6">
      <c r="A2187" s="60">
        <v>218200</v>
      </c>
      <c r="B2187" s="60">
        <f t="shared" si="171"/>
        <v>4671188</v>
      </c>
      <c r="C2187" s="60">
        <f t="shared" ref="C2187:C2250" si="174">ROUND(D2187*E2187*10000,0)</f>
        <v>4671188</v>
      </c>
      <c r="D2187" s="61">
        <f t="shared" si="170"/>
        <v>1</v>
      </c>
      <c r="E2187" s="64">
        <f t="shared" si="172"/>
        <v>467.11882856506651</v>
      </c>
      <c r="F2187" s="62" t="str">
        <f t="shared" si="173"/>
        <v/>
      </c>
    </row>
    <row r="2188" spans="1:6">
      <c r="A2188" s="60">
        <v>218300</v>
      </c>
      <c r="B2188" s="60">
        <f t="shared" si="171"/>
        <v>4672259</v>
      </c>
      <c r="C2188" s="60">
        <f t="shared" si="174"/>
        <v>4672259</v>
      </c>
      <c r="D2188" s="61">
        <f t="shared" si="170"/>
        <v>1</v>
      </c>
      <c r="E2188" s="64">
        <f t="shared" si="172"/>
        <v>467.22585544894667</v>
      </c>
      <c r="F2188" s="62" t="str">
        <f t="shared" si="173"/>
        <v/>
      </c>
    </row>
    <row r="2189" spans="1:6">
      <c r="A2189" s="60">
        <v>218400</v>
      </c>
      <c r="B2189" s="60">
        <f t="shared" si="171"/>
        <v>4673329</v>
      </c>
      <c r="C2189" s="60">
        <f t="shared" si="174"/>
        <v>4673329</v>
      </c>
      <c r="D2189" s="61">
        <f t="shared" si="170"/>
        <v>1</v>
      </c>
      <c r="E2189" s="64">
        <f t="shared" si="172"/>
        <v>467.33285782191689</v>
      </c>
      <c r="F2189" s="62" t="str">
        <f t="shared" si="173"/>
        <v/>
      </c>
    </row>
    <row r="2190" spans="1:6">
      <c r="A2190" s="60">
        <v>218500</v>
      </c>
      <c r="B2190" s="60">
        <f t="shared" si="171"/>
        <v>4674398</v>
      </c>
      <c r="C2190" s="60">
        <f t="shared" si="174"/>
        <v>4674398</v>
      </c>
      <c r="D2190" s="61">
        <f t="shared" si="170"/>
        <v>1</v>
      </c>
      <c r="E2190" s="64">
        <f t="shared" si="172"/>
        <v>467.43983570080974</v>
      </c>
      <c r="F2190" s="62" t="str">
        <f t="shared" si="173"/>
        <v/>
      </c>
    </row>
    <row r="2191" spans="1:6">
      <c r="A2191" s="60">
        <v>218600</v>
      </c>
      <c r="B2191" s="60">
        <f t="shared" si="171"/>
        <v>4675468</v>
      </c>
      <c r="C2191" s="60">
        <f t="shared" si="174"/>
        <v>4675468</v>
      </c>
      <c r="D2191" s="61">
        <f t="shared" si="170"/>
        <v>1</v>
      </c>
      <c r="E2191" s="64">
        <f t="shared" si="172"/>
        <v>467.54678910243837</v>
      </c>
      <c r="F2191" s="62" t="str">
        <f t="shared" si="173"/>
        <v/>
      </c>
    </row>
    <row r="2192" spans="1:6">
      <c r="A2192" s="60">
        <v>218700</v>
      </c>
      <c r="B2192" s="60">
        <f t="shared" si="171"/>
        <v>4676537</v>
      </c>
      <c r="C2192" s="60">
        <f t="shared" si="174"/>
        <v>4676537</v>
      </c>
      <c r="D2192" s="61">
        <f t="shared" si="170"/>
        <v>1</v>
      </c>
      <c r="E2192" s="64">
        <f t="shared" si="172"/>
        <v>467.65371804359688</v>
      </c>
      <c r="F2192" s="62" t="str">
        <f t="shared" si="173"/>
        <v/>
      </c>
    </row>
    <row r="2193" spans="1:6">
      <c r="A2193" s="60">
        <v>218800</v>
      </c>
      <c r="B2193" s="60">
        <f t="shared" si="171"/>
        <v>4677606</v>
      </c>
      <c r="C2193" s="60">
        <f t="shared" si="174"/>
        <v>4677606</v>
      </c>
      <c r="D2193" s="61">
        <f t="shared" si="170"/>
        <v>1</v>
      </c>
      <c r="E2193" s="64">
        <f t="shared" si="172"/>
        <v>467.76062254106</v>
      </c>
      <c r="F2193" s="62" t="str">
        <f t="shared" si="173"/>
        <v/>
      </c>
    </row>
    <row r="2194" spans="1:6">
      <c r="A2194" s="60">
        <v>218900</v>
      </c>
      <c r="B2194" s="60">
        <f t="shared" si="171"/>
        <v>4678675</v>
      </c>
      <c r="C2194" s="60">
        <f t="shared" si="174"/>
        <v>4678675</v>
      </c>
      <c r="D2194" s="61">
        <f t="shared" si="170"/>
        <v>1</v>
      </c>
      <c r="E2194" s="64">
        <f t="shared" si="172"/>
        <v>467.8675026115834</v>
      </c>
      <c r="F2194" s="62" t="str">
        <f t="shared" si="173"/>
        <v/>
      </c>
    </row>
    <row r="2195" spans="1:6">
      <c r="A2195" s="60">
        <v>219000</v>
      </c>
      <c r="B2195" s="60">
        <f t="shared" si="171"/>
        <v>4679744</v>
      </c>
      <c r="C2195" s="60">
        <f t="shared" si="174"/>
        <v>4679744</v>
      </c>
      <c r="D2195" s="61">
        <f t="shared" si="170"/>
        <v>1</v>
      </c>
      <c r="E2195" s="64">
        <f t="shared" si="172"/>
        <v>467.97435827190361</v>
      </c>
      <c r="F2195" s="62" t="str">
        <f t="shared" si="173"/>
        <v/>
      </c>
    </row>
    <row r="2196" spans="1:6">
      <c r="A2196" s="60">
        <v>219100</v>
      </c>
      <c r="B2196" s="60">
        <f t="shared" si="171"/>
        <v>4680812</v>
      </c>
      <c r="C2196" s="60">
        <f t="shared" si="174"/>
        <v>4680812</v>
      </c>
      <c r="D2196" s="61">
        <f t="shared" si="170"/>
        <v>1</v>
      </c>
      <c r="E2196" s="64">
        <f t="shared" si="172"/>
        <v>468.08118953873804</v>
      </c>
      <c r="F2196" s="62" t="str">
        <f t="shared" si="173"/>
        <v/>
      </c>
    </row>
    <row r="2197" spans="1:6">
      <c r="A2197" s="60">
        <v>219200</v>
      </c>
      <c r="B2197" s="60">
        <f t="shared" si="171"/>
        <v>4681880</v>
      </c>
      <c r="C2197" s="60">
        <f t="shared" si="174"/>
        <v>4681880</v>
      </c>
      <c r="D2197" s="61">
        <f t="shared" si="170"/>
        <v>1</v>
      </c>
      <c r="E2197" s="64">
        <f t="shared" si="172"/>
        <v>468.18799642878503</v>
      </c>
      <c r="F2197" s="62" t="str">
        <f t="shared" si="173"/>
        <v/>
      </c>
    </row>
    <row r="2198" spans="1:6">
      <c r="A2198" s="60">
        <v>219300</v>
      </c>
      <c r="B2198" s="60">
        <f t="shared" si="171"/>
        <v>4682948</v>
      </c>
      <c r="C2198" s="60">
        <f t="shared" si="174"/>
        <v>4682948</v>
      </c>
      <c r="D2198" s="61">
        <f t="shared" si="170"/>
        <v>1</v>
      </c>
      <c r="E2198" s="64">
        <f t="shared" si="172"/>
        <v>468.29477895872384</v>
      </c>
      <c r="F2198" s="62" t="str">
        <f t="shared" si="173"/>
        <v/>
      </c>
    </row>
    <row r="2199" spans="1:6">
      <c r="A2199" s="60">
        <v>219400</v>
      </c>
      <c r="B2199" s="60">
        <f t="shared" si="171"/>
        <v>4684015</v>
      </c>
      <c r="C2199" s="60">
        <f t="shared" si="174"/>
        <v>4684015</v>
      </c>
      <c r="D2199" s="61">
        <f t="shared" si="170"/>
        <v>1</v>
      </c>
      <c r="E2199" s="64">
        <f t="shared" si="172"/>
        <v>468.40153714521477</v>
      </c>
      <c r="F2199" s="62" t="str">
        <f t="shared" si="173"/>
        <v/>
      </c>
    </row>
    <row r="2200" spans="1:6">
      <c r="A2200" s="60">
        <v>219500</v>
      </c>
      <c r="B2200" s="60">
        <f t="shared" si="171"/>
        <v>4685083</v>
      </c>
      <c r="C2200" s="60">
        <f t="shared" si="174"/>
        <v>4685083</v>
      </c>
      <c r="D2200" s="61">
        <f t="shared" si="170"/>
        <v>1</v>
      </c>
      <c r="E2200" s="64">
        <f t="shared" si="172"/>
        <v>468.50827100489914</v>
      </c>
      <c r="F2200" s="62" t="str">
        <f t="shared" si="173"/>
        <v/>
      </c>
    </row>
    <row r="2201" spans="1:6">
      <c r="A2201" s="60">
        <v>219600</v>
      </c>
      <c r="B2201" s="60">
        <f t="shared" si="171"/>
        <v>4686150</v>
      </c>
      <c r="C2201" s="60">
        <f t="shared" si="174"/>
        <v>4686150</v>
      </c>
      <c r="D2201" s="61">
        <f t="shared" si="170"/>
        <v>1</v>
      </c>
      <c r="E2201" s="64">
        <f t="shared" si="172"/>
        <v>468.61498055439927</v>
      </c>
      <c r="F2201" s="62" t="str">
        <f t="shared" si="173"/>
        <v/>
      </c>
    </row>
    <row r="2202" spans="1:6">
      <c r="A2202" s="60">
        <v>219700</v>
      </c>
      <c r="B2202" s="60">
        <f t="shared" si="171"/>
        <v>4687217</v>
      </c>
      <c r="C2202" s="60">
        <f t="shared" si="174"/>
        <v>4687217</v>
      </c>
      <c r="D2202" s="61">
        <f t="shared" si="170"/>
        <v>1</v>
      </c>
      <c r="E2202" s="64">
        <f t="shared" si="172"/>
        <v>468.7216658103186</v>
      </c>
      <c r="F2202" s="62" t="str">
        <f t="shared" si="173"/>
        <v/>
      </c>
    </row>
    <row r="2203" spans="1:6">
      <c r="A2203" s="60">
        <v>219800</v>
      </c>
      <c r="B2203" s="60">
        <f t="shared" si="171"/>
        <v>4688283</v>
      </c>
      <c r="C2203" s="60">
        <f t="shared" si="174"/>
        <v>4688283</v>
      </c>
      <c r="D2203" s="61">
        <f t="shared" si="170"/>
        <v>1</v>
      </c>
      <c r="E2203" s="64">
        <f t="shared" si="172"/>
        <v>468.82832678924171</v>
      </c>
      <c r="F2203" s="62" t="str">
        <f t="shared" si="173"/>
        <v/>
      </c>
    </row>
    <row r="2204" spans="1:6">
      <c r="A2204" s="60">
        <v>219900</v>
      </c>
      <c r="B2204" s="60">
        <f t="shared" si="171"/>
        <v>4689350</v>
      </c>
      <c r="C2204" s="60">
        <f t="shared" si="174"/>
        <v>4689350</v>
      </c>
      <c r="D2204" s="61">
        <f t="shared" si="170"/>
        <v>1</v>
      </c>
      <c r="E2204" s="64">
        <f t="shared" si="172"/>
        <v>468.93496350773421</v>
      </c>
      <c r="F2204" s="62" t="str">
        <f t="shared" si="173"/>
        <v/>
      </c>
    </row>
    <row r="2205" spans="1:6">
      <c r="A2205" s="60">
        <v>220000</v>
      </c>
      <c r="B2205" s="60">
        <f t="shared" si="171"/>
        <v>4690416</v>
      </c>
      <c r="C2205" s="60">
        <f t="shared" si="174"/>
        <v>4690416</v>
      </c>
      <c r="D2205" s="61">
        <f t="shared" si="170"/>
        <v>1</v>
      </c>
      <c r="E2205" s="64">
        <f t="shared" si="172"/>
        <v>469.04157598234298</v>
      </c>
      <c r="F2205" s="62" t="str">
        <f t="shared" si="173"/>
        <v/>
      </c>
    </row>
    <row r="2206" spans="1:6">
      <c r="A2206" s="60">
        <v>220100</v>
      </c>
      <c r="B2206" s="60">
        <f t="shared" si="171"/>
        <v>4691482</v>
      </c>
      <c r="C2206" s="60">
        <f t="shared" si="174"/>
        <v>4691482</v>
      </c>
      <c r="D2206" s="61">
        <f t="shared" si="170"/>
        <v>1</v>
      </c>
      <c r="E2206" s="64">
        <f t="shared" si="172"/>
        <v>469.14816422959603</v>
      </c>
      <c r="F2206" s="62" t="str">
        <f t="shared" si="173"/>
        <v/>
      </c>
    </row>
    <row r="2207" spans="1:6">
      <c r="A2207" s="60">
        <v>220200</v>
      </c>
      <c r="B2207" s="60">
        <f t="shared" si="171"/>
        <v>4692547</v>
      </c>
      <c r="C2207" s="60">
        <f t="shared" si="174"/>
        <v>4692547</v>
      </c>
      <c r="D2207" s="61">
        <f t="shared" si="170"/>
        <v>1</v>
      </c>
      <c r="E2207" s="64">
        <f t="shared" si="172"/>
        <v>469.25472826600264</v>
      </c>
      <c r="F2207" s="62" t="str">
        <f t="shared" si="173"/>
        <v/>
      </c>
    </row>
    <row r="2208" spans="1:6">
      <c r="A2208" s="60">
        <v>220300</v>
      </c>
      <c r="B2208" s="60">
        <f t="shared" si="171"/>
        <v>4693613</v>
      </c>
      <c r="C2208" s="60">
        <f t="shared" si="174"/>
        <v>4693613</v>
      </c>
      <c r="D2208" s="61">
        <f t="shared" si="170"/>
        <v>1</v>
      </c>
      <c r="E2208" s="64">
        <f t="shared" si="172"/>
        <v>469.36126810805342</v>
      </c>
      <c r="F2208" s="62" t="str">
        <f t="shared" si="173"/>
        <v/>
      </c>
    </row>
    <row r="2209" spans="1:6">
      <c r="A2209" s="60">
        <v>220400</v>
      </c>
      <c r="B2209" s="60">
        <f t="shared" si="171"/>
        <v>4694678</v>
      </c>
      <c r="C2209" s="60">
        <f t="shared" si="174"/>
        <v>4694678</v>
      </c>
      <c r="D2209" s="61">
        <f t="shared" si="170"/>
        <v>1</v>
      </c>
      <c r="E2209" s="64">
        <f t="shared" si="172"/>
        <v>469.46778377222012</v>
      </c>
      <c r="F2209" s="62" t="str">
        <f t="shared" si="173"/>
        <v/>
      </c>
    </row>
    <row r="2210" spans="1:6">
      <c r="A2210" s="60">
        <v>220500</v>
      </c>
      <c r="B2210" s="60">
        <f t="shared" si="171"/>
        <v>4695743</v>
      </c>
      <c r="C2210" s="60">
        <f t="shared" si="174"/>
        <v>4695743</v>
      </c>
      <c r="D2210" s="61">
        <f t="shared" si="170"/>
        <v>1</v>
      </c>
      <c r="E2210" s="64">
        <f t="shared" si="172"/>
        <v>469.57427527495582</v>
      </c>
      <c r="F2210" s="62" t="str">
        <f t="shared" si="173"/>
        <v/>
      </c>
    </row>
    <row r="2211" spans="1:6">
      <c r="A2211" s="60">
        <v>220600</v>
      </c>
      <c r="B2211" s="60">
        <f t="shared" si="171"/>
        <v>4696807</v>
      </c>
      <c r="C2211" s="60">
        <f t="shared" si="174"/>
        <v>4696807</v>
      </c>
      <c r="D2211" s="61">
        <f t="shared" si="170"/>
        <v>1</v>
      </c>
      <c r="E2211" s="64">
        <f t="shared" si="172"/>
        <v>469.68074263269511</v>
      </c>
      <c r="F2211" s="62" t="str">
        <f t="shared" si="173"/>
        <v/>
      </c>
    </row>
    <row r="2212" spans="1:6">
      <c r="A2212" s="60">
        <v>220700</v>
      </c>
      <c r="B2212" s="60">
        <f t="shared" si="171"/>
        <v>4697872</v>
      </c>
      <c r="C2212" s="60">
        <f t="shared" si="174"/>
        <v>4697872</v>
      </c>
      <c r="D2212" s="61">
        <f t="shared" si="170"/>
        <v>1</v>
      </c>
      <c r="E2212" s="64">
        <f t="shared" si="172"/>
        <v>469.78718586185386</v>
      </c>
      <c r="F2212" s="62" t="str">
        <f t="shared" si="173"/>
        <v/>
      </c>
    </row>
    <row r="2213" spans="1:6">
      <c r="A2213" s="60">
        <v>220800</v>
      </c>
      <c r="B2213" s="60">
        <f t="shared" si="171"/>
        <v>4698936</v>
      </c>
      <c r="C2213" s="60">
        <f t="shared" si="174"/>
        <v>4698936</v>
      </c>
      <c r="D2213" s="61">
        <f t="shared" si="170"/>
        <v>1</v>
      </c>
      <c r="E2213" s="64">
        <f t="shared" si="172"/>
        <v>469.89360497882922</v>
      </c>
      <c r="F2213" s="62" t="str">
        <f t="shared" si="173"/>
        <v/>
      </c>
    </row>
    <row r="2214" spans="1:6">
      <c r="A2214" s="60">
        <v>220900</v>
      </c>
      <c r="B2214" s="60">
        <f t="shared" si="171"/>
        <v>4700000</v>
      </c>
      <c r="C2214" s="60">
        <f t="shared" si="174"/>
        <v>4700000</v>
      </c>
      <c r="D2214" s="61">
        <f t="shared" si="170"/>
        <v>1</v>
      </c>
      <c r="E2214" s="64">
        <f t="shared" si="172"/>
        <v>470</v>
      </c>
      <c r="F2214" s="62" t="str">
        <f t="shared" si="173"/>
        <v/>
      </c>
    </row>
    <row r="2215" spans="1:6">
      <c r="A2215" s="60">
        <v>221000</v>
      </c>
      <c r="B2215" s="60">
        <f t="shared" si="171"/>
        <v>4701064</v>
      </c>
      <c r="C2215" s="60">
        <f t="shared" si="174"/>
        <v>4701064</v>
      </c>
      <c r="D2215" s="61">
        <f t="shared" si="170"/>
        <v>1</v>
      </c>
      <c r="E2215" s="64">
        <f t="shared" si="172"/>
        <v>470.10637094172631</v>
      </c>
      <c r="F2215" s="62" t="str">
        <f t="shared" si="173"/>
        <v/>
      </c>
    </row>
    <row r="2216" spans="1:6">
      <c r="A2216" s="60">
        <v>221100</v>
      </c>
      <c r="B2216" s="60">
        <f t="shared" si="171"/>
        <v>4702127</v>
      </c>
      <c r="C2216" s="60">
        <f t="shared" si="174"/>
        <v>4702127</v>
      </c>
      <c r="D2216" s="61">
        <f t="shared" si="170"/>
        <v>1</v>
      </c>
      <c r="E2216" s="64">
        <f t="shared" si="172"/>
        <v>470.21271782034989</v>
      </c>
      <c r="F2216" s="62" t="str">
        <f t="shared" si="173"/>
        <v/>
      </c>
    </row>
    <row r="2217" spans="1:6">
      <c r="A2217" s="60">
        <v>221200</v>
      </c>
      <c r="B2217" s="60">
        <f t="shared" si="171"/>
        <v>4703190</v>
      </c>
      <c r="C2217" s="60">
        <f t="shared" si="174"/>
        <v>4703190</v>
      </c>
      <c r="D2217" s="61">
        <f t="shared" si="170"/>
        <v>1</v>
      </c>
      <c r="E2217" s="64">
        <f t="shared" si="172"/>
        <v>470.31904065219391</v>
      </c>
      <c r="F2217" s="62" t="str">
        <f t="shared" si="173"/>
        <v/>
      </c>
    </row>
    <row r="2218" spans="1:6">
      <c r="A2218" s="60">
        <v>221300</v>
      </c>
      <c r="B2218" s="60">
        <f t="shared" si="171"/>
        <v>4704253</v>
      </c>
      <c r="C2218" s="60">
        <f t="shared" si="174"/>
        <v>4704253</v>
      </c>
      <c r="D2218" s="61">
        <f t="shared" si="170"/>
        <v>1</v>
      </c>
      <c r="E2218" s="64">
        <f t="shared" si="172"/>
        <v>470.42533945356303</v>
      </c>
      <c r="F2218" s="62" t="str">
        <f t="shared" si="173"/>
        <v/>
      </c>
    </row>
    <row r="2219" spans="1:6">
      <c r="A2219" s="60">
        <v>221400</v>
      </c>
      <c r="B2219" s="60">
        <f t="shared" si="171"/>
        <v>4705316</v>
      </c>
      <c r="C2219" s="60">
        <f t="shared" si="174"/>
        <v>4705316</v>
      </c>
      <c r="D2219" s="61">
        <f t="shared" si="170"/>
        <v>1</v>
      </c>
      <c r="E2219" s="64">
        <f t="shared" si="172"/>
        <v>470.53161424074364</v>
      </c>
      <c r="F2219" s="62" t="str">
        <f t="shared" si="173"/>
        <v/>
      </c>
    </row>
    <row r="2220" spans="1:6">
      <c r="A2220" s="60">
        <v>221500</v>
      </c>
      <c r="B2220" s="60">
        <f t="shared" si="171"/>
        <v>4706379</v>
      </c>
      <c r="C2220" s="60">
        <f t="shared" si="174"/>
        <v>4706379</v>
      </c>
      <c r="D2220" s="61">
        <f t="shared" si="170"/>
        <v>1</v>
      </c>
      <c r="E2220" s="64">
        <f t="shared" si="172"/>
        <v>470.6378650300037</v>
      </c>
      <c r="F2220" s="62" t="str">
        <f t="shared" si="173"/>
        <v/>
      </c>
    </row>
    <row r="2221" spans="1:6">
      <c r="A2221" s="60">
        <v>221600</v>
      </c>
      <c r="B2221" s="60">
        <f t="shared" si="171"/>
        <v>4707441</v>
      </c>
      <c r="C2221" s="60">
        <f t="shared" si="174"/>
        <v>4707441</v>
      </c>
      <c r="D2221" s="61">
        <f t="shared" si="170"/>
        <v>1</v>
      </c>
      <c r="E2221" s="64">
        <f t="shared" si="172"/>
        <v>470.7440918375928</v>
      </c>
      <c r="F2221" s="62" t="str">
        <f t="shared" si="173"/>
        <v/>
      </c>
    </row>
    <row r="2222" spans="1:6">
      <c r="A2222" s="60">
        <v>221700</v>
      </c>
      <c r="B2222" s="60">
        <f t="shared" si="171"/>
        <v>4708503</v>
      </c>
      <c r="C2222" s="60">
        <f t="shared" si="174"/>
        <v>4708503</v>
      </c>
      <c r="D2222" s="61">
        <f t="shared" si="170"/>
        <v>1</v>
      </c>
      <c r="E2222" s="64">
        <f t="shared" si="172"/>
        <v>470.85029467974215</v>
      </c>
      <c r="F2222" s="62" t="str">
        <f t="shared" si="173"/>
        <v/>
      </c>
    </row>
    <row r="2223" spans="1:6">
      <c r="A2223" s="60">
        <v>221800</v>
      </c>
      <c r="B2223" s="60">
        <f t="shared" si="171"/>
        <v>4709565</v>
      </c>
      <c r="C2223" s="60">
        <f t="shared" si="174"/>
        <v>4709565</v>
      </c>
      <c r="D2223" s="61">
        <f t="shared" si="170"/>
        <v>1</v>
      </c>
      <c r="E2223" s="64">
        <f t="shared" si="172"/>
        <v>470.95647357266466</v>
      </c>
      <c r="F2223" s="62" t="str">
        <f t="shared" si="173"/>
        <v/>
      </c>
    </row>
    <row r="2224" spans="1:6">
      <c r="A2224" s="60">
        <v>221900</v>
      </c>
      <c r="B2224" s="60">
        <f t="shared" si="171"/>
        <v>4710626</v>
      </c>
      <c r="C2224" s="60">
        <f t="shared" si="174"/>
        <v>4710626</v>
      </c>
      <c r="D2224" s="61">
        <f t="shared" si="170"/>
        <v>1</v>
      </c>
      <c r="E2224" s="64">
        <f t="shared" si="172"/>
        <v>471.0626285325551</v>
      </c>
      <c r="F2224" s="62" t="str">
        <f t="shared" si="173"/>
        <v/>
      </c>
    </row>
    <row r="2225" spans="1:6">
      <c r="A2225" s="60">
        <v>222000</v>
      </c>
      <c r="B2225" s="60">
        <f t="shared" si="171"/>
        <v>4711688</v>
      </c>
      <c r="C2225" s="60">
        <f t="shared" si="174"/>
        <v>4711688</v>
      </c>
      <c r="D2225" s="61">
        <f t="shared" si="170"/>
        <v>1</v>
      </c>
      <c r="E2225" s="64">
        <f t="shared" si="172"/>
        <v>471.16875957558983</v>
      </c>
      <c r="F2225" s="62" t="str">
        <f t="shared" si="173"/>
        <v/>
      </c>
    </row>
    <row r="2226" spans="1:6">
      <c r="A2226" s="60">
        <v>222100</v>
      </c>
      <c r="B2226" s="60">
        <f t="shared" si="171"/>
        <v>4712749</v>
      </c>
      <c r="C2226" s="60">
        <f t="shared" si="174"/>
        <v>4712749</v>
      </c>
      <c r="D2226" s="61">
        <f t="shared" si="170"/>
        <v>1</v>
      </c>
      <c r="E2226" s="64">
        <f t="shared" si="172"/>
        <v>471.27486671792713</v>
      </c>
      <c r="F2226" s="62" t="str">
        <f t="shared" si="173"/>
        <v/>
      </c>
    </row>
    <row r="2227" spans="1:6">
      <c r="A2227" s="60">
        <v>222200</v>
      </c>
      <c r="B2227" s="60">
        <f t="shared" si="171"/>
        <v>4713809</v>
      </c>
      <c r="C2227" s="60">
        <f t="shared" si="174"/>
        <v>4713809</v>
      </c>
      <c r="D2227" s="61">
        <f t="shared" si="170"/>
        <v>1</v>
      </c>
      <c r="E2227" s="64">
        <f t="shared" si="172"/>
        <v>471.38094997570704</v>
      </c>
      <c r="F2227" s="62" t="str">
        <f t="shared" si="173"/>
        <v/>
      </c>
    </row>
    <row r="2228" spans="1:6">
      <c r="A2228" s="60">
        <v>222300</v>
      </c>
      <c r="B2228" s="60">
        <f t="shared" si="171"/>
        <v>4714870</v>
      </c>
      <c r="C2228" s="60">
        <f t="shared" si="174"/>
        <v>4714870</v>
      </c>
      <c r="D2228" s="61">
        <f t="shared" si="170"/>
        <v>1</v>
      </c>
      <c r="E2228" s="64">
        <f t="shared" si="172"/>
        <v>471.48700936505134</v>
      </c>
      <c r="F2228" s="62" t="str">
        <f t="shared" si="173"/>
        <v/>
      </c>
    </row>
    <row r="2229" spans="1:6">
      <c r="A2229" s="60">
        <v>222400</v>
      </c>
      <c r="B2229" s="60">
        <f t="shared" si="171"/>
        <v>4715930</v>
      </c>
      <c r="C2229" s="60">
        <f t="shared" si="174"/>
        <v>4715930</v>
      </c>
      <c r="D2229" s="61">
        <f t="shared" si="170"/>
        <v>1</v>
      </c>
      <c r="E2229" s="64">
        <f t="shared" si="172"/>
        <v>471.59304490206387</v>
      </c>
      <c r="F2229" s="62" t="str">
        <f t="shared" si="173"/>
        <v/>
      </c>
    </row>
    <row r="2230" spans="1:6">
      <c r="A2230" s="60">
        <v>222500</v>
      </c>
      <c r="B2230" s="60">
        <f t="shared" si="171"/>
        <v>4716991</v>
      </c>
      <c r="C2230" s="60">
        <f t="shared" si="174"/>
        <v>4716991</v>
      </c>
      <c r="D2230" s="61">
        <f t="shared" si="170"/>
        <v>1</v>
      </c>
      <c r="E2230" s="64">
        <f t="shared" si="172"/>
        <v>471.69905660283018</v>
      </c>
      <c r="F2230" s="62" t="str">
        <f t="shared" si="173"/>
        <v/>
      </c>
    </row>
    <row r="2231" spans="1:6">
      <c r="A2231" s="60">
        <v>222600</v>
      </c>
      <c r="B2231" s="60">
        <f t="shared" si="171"/>
        <v>4718050</v>
      </c>
      <c r="C2231" s="60">
        <f t="shared" si="174"/>
        <v>4718050</v>
      </c>
      <c r="D2231" s="61">
        <f t="shared" si="170"/>
        <v>1</v>
      </c>
      <c r="E2231" s="64">
        <f t="shared" si="172"/>
        <v>471.80504448341799</v>
      </c>
      <c r="F2231" s="62" t="str">
        <f t="shared" si="173"/>
        <v/>
      </c>
    </row>
    <row r="2232" spans="1:6">
      <c r="A2232" s="60">
        <v>222700</v>
      </c>
      <c r="B2232" s="60">
        <f t="shared" si="171"/>
        <v>4719110</v>
      </c>
      <c r="C2232" s="60">
        <f t="shared" si="174"/>
        <v>4719110</v>
      </c>
      <c r="D2232" s="61">
        <f t="shared" si="170"/>
        <v>1</v>
      </c>
      <c r="E2232" s="64">
        <f t="shared" si="172"/>
        <v>471.91100855987668</v>
      </c>
      <c r="F2232" s="62" t="str">
        <f t="shared" si="173"/>
        <v/>
      </c>
    </row>
    <row r="2233" spans="1:6">
      <c r="A2233" s="60">
        <v>222800</v>
      </c>
      <c r="B2233" s="60">
        <f t="shared" si="171"/>
        <v>4720169</v>
      </c>
      <c r="C2233" s="60">
        <f t="shared" si="174"/>
        <v>4720169</v>
      </c>
      <c r="D2233" s="61">
        <f t="shared" si="170"/>
        <v>1</v>
      </c>
      <c r="E2233" s="64">
        <f t="shared" si="172"/>
        <v>472.01694884823786</v>
      </c>
      <c r="F2233" s="62" t="str">
        <f t="shared" si="173"/>
        <v/>
      </c>
    </row>
    <row r="2234" spans="1:6">
      <c r="A2234" s="60">
        <v>222900</v>
      </c>
      <c r="B2234" s="60">
        <f t="shared" si="171"/>
        <v>4721229</v>
      </c>
      <c r="C2234" s="60">
        <f t="shared" si="174"/>
        <v>4721229</v>
      </c>
      <c r="D2234" s="61">
        <f t="shared" si="170"/>
        <v>1</v>
      </c>
      <c r="E2234" s="64">
        <f t="shared" si="172"/>
        <v>472.12286536451506</v>
      </c>
      <c r="F2234" s="62" t="str">
        <f t="shared" si="173"/>
        <v/>
      </c>
    </row>
    <row r="2235" spans="1:6">
      <c r="A2235" s="60">
        <v>223000</v>
      </c>
      <c r="B2235" s="60">
        <f t="shared" si="171"/>
        <v>4722288</v>
      </c>
      <c r="C2235" s="60">
        <f t="shared" si="174"/>
        <v>4722288</v>
      </c>
      <c r="D2235" s="61">
        <f t="shared" si="170"/>
        <v>1</v>
      </c>
      <c r="E2235" s="64">
        <f t="shared" si="172"/>
        <v>472.2287581247038</v>
      </c>
      <c r="F2235" s="62" t="str">
        <f t="shared" si="173"/>
        <v/>
      </c>
    </row>
    <row r="2236" spans="1:6">
      <c r="A2236" s="60">
        <v>223100</v>
      </c>
      <c r="B2236" s="60">
        <f t="shared" si="171"/>
        <v>4723346</v>
      </c>
      <c r="C2236" s="60">
        <f t="shared" si="174"/>
        <v>4723346</v>
      </c>
      <c r="D2236" s="61">
        <f t="shared" si="170"/>
        <v>1</v>
      </c>
      <c r="E2236" s="64">
        <f t="shared" si="172"/>
        <v>472.33462714478173</v>
      </c>
      <c r="F2236" s="62" t="str">
        <f t="shared" si="173"/>
        <v/>
      </c>
    </row>
    <row r="2237" spans="1:6">
      <c r="A2237" s="60">
        <v>223200</v>
      </c>
      <c r="B2237" s="60">
        <f t="shared" si="171"/>
        <v>4724405</v>
      </c>
      <c r="C2237" s="60">
        <f t="shared" si="174"/>
        <v>4724405</v>
      </c>
      <c r="D2237" s="61">
        <f t="shared" si="170"/>
        <v>1</v>
      </c>
      <c r="E2237" s="64">
        <f t="shared" si="172"/>
        <v>472.44047244070867</v>
      </c>
      <c r="F2237" s="62" t="str">
        <f t="shared" si="173"/>
        <v/>
      </c>
    </row>
    <row r="2238" spans="1:6">
      <c r="A2238" s="60">
        <v>223300</v>
      </c>
      <c r="B2238" s="60">
        <f t="shared" si="171"/>
        <v>4725463</v>
      </c>
      <c r="C2238" s="60">
        <f t="shared" si="174"/>
        <v>4725463</v>
      </c>
      <c r="D2238" s="61">
        <f t="shared" si="170"/>
        <v>1</v>
      </c>
      <c r="E2238" s="64">
        <f t="shared" si="172"/>
        <v>472.54629402842636</v>
      </c>
      <c r="F2238" s="62" t="str">
        <f t="shared" si="173"/>
        <v/>
      </c>
    </row>
    <row r="2239" spans="1:6">
      <c r="A2239" s="60">
        <v>223400</v>
      </c>
      <c r="B2239" s="60">
        <f t="shared" si="171"/>
        <v>4726521</v>
      </c>
      <c r="C2239" s="60">
        <f t="shared" si="174"/>
        <v>4726521</v>
      </c>
      <c r="D2239" s="61">
        <f t="shared" si="170"/>
        <v>1</v>
      </c>
      <c r="E2239" s="64">
        <f t="shared" si="172"/>
        <v>472.65209192385896</v>
      </c>
      <c r="F2239" s="62" t="str">
        <f t="shared" si="173"/>
        <v/>
      </c>
    </row>
    <row r="2240" spans="1:6">
      <c r="A2240" s="60">
        <v>223500</v>
      </c>
      <c r="B2240" s="60">
        <f t="shared" si="171"/>
        <v>4727579</v>
      </c>
      <c r="C2240" s="60">
        <f t="shared" si="174"/>
        <v>4727579</v>
      </c>
      <c r="D2240" s="61">
        <f t="shared" si="170"/>
        <v>1</v>
      </c>
      <c r="E2240" s="64">
        <f t="shared" si="172"/>
        <v>472.75786614291252</v>
      </c>
      <c r="F2240" s="62" t="str">
        <f t="shared" si="173"/>
        <v/>
      </c>
    </row>
    <row r="2241" spans="1:6">
      <c r="A2241" s="60">
        <v>223600</v>
      </c>
      <c r="B2241" s="60">
        <f t="shared" si="171"/>
        <v>4728636</v>
      </c>
      <c r="C2241" s="60">
        <f t="shared" si="174"/>
        <v>4728636</v>
      </c>
      <c r="D2241" s="61">
        <f t="shared" si="170"/>
        <v>1</v>
      </c>
      <c r="E2241" s="64">
        <f t="shared" si="172"/>
        <v>472.86361670147556</v>
      </c>
      <c r="F2241" s="62" t="str">
        <f t="shared" si="173"/>
        <v/>
      </c>
    </row>
    <row r="2242" spans="1:6">
      <c r="A2242" s="60">
        <v>223700</v>
      </c>
      <c r="B2242" s="60">
        <f t="shared" si="171"/>
        <v>4729693</v>
      </c>
      <c r="C2242" s="60">
        <f t="shared" si="174"/>
        <v>4729693</v>
      </c>
      <c r="D2242" s="61">
        <f t="shared" si="170"/>
        <v>1</v>
      </c>
      <c r="E2242" s="64">
        <f t="shared" si="172"/>
        <v>472.96934361541867</v>
      </c>
      <c r="F2242" s="62" t="str">
        <f t="shared" si="173"/>
        <v/>
      </c>
    </row>
    <row r="2243" spans="1:6">
      <c r="A2243" s="60">
        <v>223800</v>
      </c>
      <c r="B2243" s="60">
        <f t="shared" si="171"/>
        <v>4730750</v>
      </c>
      <c r="C2243" s="60">
        <f t="shared" si="174"/>
        <v>4730750</v>
      </c>
      <c r="D2243" s="61">
        <f t="shared" si="170"/>
        <v>1</v>
      </c>
      <c r="E2243" s="64">
        <f t="shared" si="172"/>
        <v>473.07504690059483</v>
      </c>
      <c r="F2243" s="62" t="str">
        <f t="shared" si="173"/>
        <v/>
      </c>
    </row>
    <row r="2244" spans="1:6">
      <c r="A2244" s="60">
        <v>223900</v>
      </c>
      <c r="B2244" s="60">
        <f t="shared" si="171"/>
        <v>4731807</v>
      </c>
      <c r="C2244" s="60">
        <f t="shared" si="174"/>
        <v>4731807</v>
      </c>
      <c r="D2244" s="61">
        <f t="shared" si="170"/>
        <v>1</v>
      </c>
      <c r="E2244" s="64">
        <f t="shared" si="172"/>
        <v>473.18072657283921</v>
      </c>
      <c r="F2244" s="62" t="str">
        <f t="shared" si="173"/>
        <v/>
      </c>
    </row>
    <row r="2245" spans="1:6">
      <c r="A2245" s="60">
        <v>224000</v>
      </c>
      <c r="B2245" s="60">
        <f t="shared" si="171"/>
        <v>4732864</v>
      </c>
      <c r="C2245" s="60">
        <f t="shared" si="174"/>
        <v>4732864</v>
      </c>
      <c r="D2245" s="61">
        <f t="shared" ref="D2245:D2308" si="175">(A2245-INDEX(兵力区间,MATCH(A2245,兵力区间,1)))/(INDEX(兵力区间,MATCH(A2245,兵力区间,1)+1)-INDEX(兵力区间,MATCH(A2245,兵力区间,1)))*((INDEX(兵力调节,MATCH(A2245,兵力区间,1)+1,2)-INDEX(兵力调节,MATCH(A2245,兵力区间,1),2)))+INDEX(兵力调节,MATCH(A2245,兵力区间,1),2)</f>
        <v>1</v>
      </c>
      <c r="E2245" s="64">
        <f t="shared" si="172"/>
        <v>473.28638264796928</v>
      </c>
      <c r="F2245" s="62" t="str">
        <f t="shared" si="173"/>
        <v/>
      </c>
    </row>
    <row r="2246" spans="1:6">
      <c r="A2246" s="60">
        <v>224100</v>
      </c>
      <c r="B2246" s="60">
        <f t="shared" si="171"/>
        <v>4733920</v>
      </c>
      <c r="C2246" s="60">
        <f t="shared" si="174"/>
        <v>4733920</v>
      </c>
      <c r="D2246" s="61">
        <f t="shared" si="175"/>
        <v>1</v>
      </c>
      <c r="E2246" s="64">
        <f t="shared" si="172"/>
        <v>473.39201514178501</v>
      </c>
      <c r="F2246" s="62" t="str">
        <f t="shared" si="173"/>
        <v/>
      </c>
    </row>
    <row r="2247" spans="1:6">
      <c r="A2247" s="60">
        <v>224200</v>
      </c>
      <c r="B2247" s="60">
        <f t="shared" ref="B2247:B2310" si="176">ROUND(D2247*E2247*10000,0)</f>
        <v>4734976</v>
      </c>
      <c r="C2247" s="60">
        <f t="shared" si="174"/>
        <v>4734976</v>
      </c>
      <c r="D2247" s="61">
        <f t="shared" si="175"/>
        <v>1</v>
      </c>
      <c r="E2247" s="64">
        <f t="shared" ref="E2247:E2310" si="177">A2247^0.5</f>
        <v>473.49762407006858</v>
      </c>
      <c r="F2247" s="62" t="str">
        <f t="shared" si="173"/>
        <v/>
      </c>
    </row>
    <row r="2248" spans="1:6">
      <c r="A2248" s="60">
        <v>224300</v>
      </c>
      <c r="B2248" s="60">
        <f t="shared" si="176"/>
        <v>4736032</v>
      </c>
      <c r="C2248" s="60">
        <f t="shared" si="174"/>
        <v>4736032</v>
      </c>
      <c r="D2248" s="61">
        <f t="shared" si="175"/>
        <v>1</v>
      </c>
      <c r="E2248" s="64">
        <f t="shared" si="177"/>
        <v>473.60320944858472</v>
      </c>
      <c r="F2248" s="62" t="str">
        <f t="shared" ref="F2248:F2311" si="178">IF(B2248&lt;B2247,1,"")</f>
        <v/>
      </c>
    </row>
    <row r="2249" spans="1:6">
      <c r="A2249" s="60">
        <v>224400</v>
      </c>
      <c r="B2249" s="60">
        <f t="shared" si="176"/>
        <v>4737088</v>
      </c>
      <c r="C2249" s="60">
        <f t="shared" si="174"/>
        <v>4737088</v>
      </c>
      <c r="D2249" s="61">
        <f t="shared" si="175"/>
        <v>1</v>
      </c>
      <c r="E2249" s="64">
        <f t="shared" si="177"/>
        <v>473.70877129308047</v>
      </c>
      <c r="F2249" s="62" t="str">
        <f t="shared" si="178"/>
        <v/>
      </c>
    </row>
    <row r="2250" spans="1:6">
      <c r="A2250" s="60">
        <v>224500</v>
      </c>
      <c r="B2250" s="60">
        <f t="shared" si="176"/>
        <v>4738143</v>
      </c>
      <c r="C2250" s="60">
        <f t="shared" si="174"/>
        <v>4738143</v>
      </c>
      <c r="D2250" s="61">
        <f t="shared" si="175"/>
        <v>1</v>
      </c>
      <c r="E2250" s="64">
        <f t="shared" si="177"/>
        <v>473.81430961928532</v>
      </c>
      <c r="F2250" s="62" t="str">
        <f t="shared" si="178"/>
        <v/>
      </c>
    </row>
    <row r="2251" spans="1:6">
      <c r="A2251" s="60">
        <v>224600</v>
      </c>
      <c r="B2251" s="60">
        <f t="shared" si="176"/>
        <v>4739198</v>
      </c>
      <c r="C2251" s="60">
        <f t="shared" ref="C2251:C2314" si="179">ROUND(D2251*E2251*10000,0)</f>
        <v>4739198</v>
      </c>
      <c r="D2251" s="61">
        <f t="shared" si="175"/>
        <v>1</v>
      </c>
      <c r="E2251" s="64">
        <f t="shared" si="177"/>
        <v>473.91982444291142</v>
      </c>
      <c r="F2251" s="62" t="str">
        <f t="shared" si="178"/>
        <v/>
      </c>
    </row>
    <row r="2252" spans="1:6">
      <c r="A2252" s="60">
        <v>224700</v>
      </c>
      <c r="B2252" s="60">
        <f t="shared" si="176"/>
        <v>4740253</v>
      </c>
      <c r="C2252" s="60">
        <f t="shared" si="179"/>
        <v>4740253</v>
      </c>
      <c r="D2252" s="61">
        <f t="shared" si="175"/>
        <v>1</v>
      </c>
      <c r="E2252" s="64">
        <f t="shared" si="177"/>
        <v>474.02531577965328</v>
      </c>
      <c r="F2252" s="62" t="str">
        <f t="shared" si="178"/>
        <v/>
      </c>
    </row>
    <row r="2253" spans="1:6">
      <c r="A2253" s="60">
        <v>224800</v>
      </c>
      <c r="B2253" s="60">
        <f t="shared" si="176"/>
        <v>4741308</v>
      </c>
      <c r="C2253" s="60">
        <f t="shared" si="179"/>
        <v>4741308</v>
      </c>
      <c r="D2253" s="61">
        <f t="shared" si="175"/>
        <v>1</v>
      </c>
      <c r="E2253" s="64">
        <f t="shared" si="177"/>
        <v>474.13078364518793</v>
      </c>
      <c r="F2253" s="62" t="str">
        <f t="shared" si="178"/>
        <v/>
      </c>
    </row>
    <row r="2254" spans="1:6">
      <c r="A2254" s="60">
        <v>224900</v>
      </c>
      <c r="B2254" s="60">
        <f t="shared" si="176"/>
        <v>4742362</v>
      </c>
      <c r="C2254" s="60">
        <f t="shared" si="179"/>
        <v>4742362</v>
      </c>
      <c r="D2254" s="61">
        <f t="shared" si="175"/>
        <v>1</v>
      </c>
      <c r="E2254" s="64">
        <f t="shared" si="177"/>
        <v>474.23622805517505</v>
      </c>
      <c r="F2254" s="62" t="str">
        <f t="shared" si="178"/>
        <v/>
      </c>
    </row>
    <row r="2255" spans="1:6">
      <c r="A2255" s="60">
        <v>225000</v>
      </c>
      <c r="B2255" s="60">
        <f t="shared" si="176"/>
        <v>4743416</v>
      </c>
      <c r="C2255" s="60">
        <f t="shared" si="179"/>
        <v>4743416</v>
      </c>
      <c r="D2255" s="61">
        <f t="shared" si="175"/>
        <v>1</v>
      </c>
      <c r="E2255" s="64">
        <f t="shared" si="177"/>
        <v>474.34164902525691</v>
      </c>
      <c r="F2255" s="62" t="str">
        <f t="shared" si="178"/>
        <v/>
      </c>
    </row>
    <row r="2256" spans="1:6">
      <c r="A2256" s="60">
        <v>225100</v>
      </c>
      <c r="B2256" s="60">
        <f t="shared" si="176"/>
        <v>4744470</v>
      </c>
      <c r="C2256" s="60">
        <f t="shared" si="179"/>
        <v>4744470</v>
      </c>
      <c r="D2256" s="61">
        <f t="shared" si="175"/>
        <v>1</v>
      </c>
      <c r="E2256" s="64">
        <f t="shared" si="177"/>
        <v>474.44704657105837</v>
      </c>
      <c r="F2256" s="62" t="str">
        <f t="shared" si="178"/>
        <v/>
      </c>
    </row>
    <row r="2257" spans="1:6">
      <c r="A2257" s="60">
        <v>225200</v>
      </c>
      <c r="B2257" s="60">
        <f t="shared" si="176"/>
        <v>4745524</v>
      </c>
      <c r="C2257" s="60">
        <f t="shared" si="179"/>
        <v>4745524</v>
      </c>
      <c r="D2257" s="61">
        <f t="shared" si="175"/>
        <v>1</v>
      </c>
      <c r="E2257" s="64">
        <f t="shared" si="177"/>
        <v>474.5524207081869</v>
      </c>
      <c r="F2257" s="62" t="str">
        <f t="shared" si="178"/>
        <v/>
      </c>
    </row>
    <row r="2258" spans="1:6">
      <c r="A2258" s="60">
        <v>225300</v>
      </c>
      <c r="B2258" s="60">
        <f t="shared" si="176"/>
        <v>4746578</v>
      </c>
      <c r="C2258" s="60">
        <f t="shared" si="179"/>
        <v>4746578</v>
      </c>
      <c r="D2258" s="61">
        <f t="shared" si="175"/>
        <v>1</v>
      </c>
      <c r="E2258" s="64">
        <f t="shared" si="177"/>
        <v>474.65777145223274</v>
      </c>
      <c r="F2258" s="62" t="str">
        <f t="shared" si="178"/>
        <v/>
      </c>
    </row>
    <row r="2259" spans="1:6">
      <c r="A2259" s="60">
        <v>225400</v>
      </c>
      <c r="B2259" s="60">
        <f t="shared" si="176"/>
        <v>4747631</v>
      </c>
      <c r="C2259" s="60">
        <f t="shared" si="179"/>
        <v>4747631</v>
      </c>
      <c r="D2259" s="61">
        <f t="shared" si="175"/>
        <v>1</v>
      </c>
      <c r="E2259" s="64">
        <f t="shared" si="177"/>
        <v>474.76309881876875</v>
      </c>
      <c r="F2259" s="62" t="str">
        <f t="shared" si="178"/>
        <v/>
      </c>
    </row>
    <row r="2260" spans="1:6">
      <c r="A2260" s="60">
        <v>225500</v>
      </c>
      <c r="B2260" s="60">
        <f t="shared" si="176"/>
        <v>4748684</v>
      </c>
      <c r="C2260" s="60">
        <f t="shared" si="179"/>
        <v>4748684</v>
      </c>
      <c r="D2260" s="61">
        <f t="shared" si="175"/>
        <v>1</v>
      </c>
      <c r="E2260" s="64">
        <f t="shared" si="177"/>
        <v>474.86840282335061</v>
      </c>
      <c r="F2260" s="62" t="str">
        <f t="shared" si="178"/>
        <v/>
      </c>
    </row>
    <row r="2261" spans="1:6">
      <c r="A2261" s="60">
        <v>225600</v>
      </c>
      <c r="B2261" s="60">
        <f t="shared" si="176"/>
        <v>4749737</v>
      </c>
      <c r="C2261" s="60">
        <f t="shared" si="179"/>
        <v>4749737</v>
      </c>
      <c r="D2261" s="61">
        <f t="shared" si="175"/>
        <v>1</v>
      </c>
      <c r="E2261" s="64">
        <f t="shared" si="177"/>
        <v>474.97368348151667</v>
      </c>
      <c r="F2261" s="62" t="str">
        <f t="shared" si="178"/>
        <v/>
      </c>
    </row>
    <row r="2262" spans="1:6">
      <c r="A2262" s="60">
        <v>225700</v>
      </c>
      <c r="B2262" s="60">
        <f t="shared" si="176"/>
        <v>4750789</v>
      </c>
      <c r="C2262" s="60">
        <f t="shared" si="179"/>
        <v>4750789</v>
      </c>
      <c r="D2262" s="61">
        <f t="shared" si="175"/>
        <v>1</v>
      </c>
      <c r="E2262" s="64">
        <f t="shared" si="177"/>
        <v>475.0789408087881</v>
      </c>
      <c r="F2262" s="62" t="str">
        <f t="shared" si="178"/>
        <v/>
      </c>
    </row>
    <row r="2263" spans="1:6">
      <c r="A2263" s="60">
        <v>225800</v>
      </c>
      <c r="B2263" s="60">
        <f t="shared" si="176"/>
        <v>4751842</v>
      </c>
      <c r="C2263" s="60">
        <f t="shared" si="179"/>
        <v>4751842</v>
      </c>
      <c r="D2263" s="61">
        <f t="shared" si="175"/>
        <v>1</v>
      </c>
      <c r="E2263" s="64">
        <f t="shared" si="177"/>
        <v>475.18417482066889</v>
      </c>
      <c r="F2263" s="62" t="str">
        <f t="shared" si="178"/>
        <v/>
      </c>
    </row>
    <row r="2264" spans="1:6">
      <c r="A2264" s="60">
        <v>225900</v>
      </c>
      <c r="B2264" s="60">
        <f t="shared" si="176"/>
        <v>4752894</v>
      </c>
      <c r="C2264" s="60">
        <f t="shared" si="179"/>
        <v>4752894</v>
      </c>
      <c r="D2264" s="61">
        <f t="shared" si="175"/>
        <v>1</v>
      </c>
      <c r="E2264" s="64">
        <f t="shared" si="177"/>
        <v>475.28938553264578</v>
      </c>
      <c r="F2264" s="62" t="str">
        <f t="shared" si="178"/>
        <v/>
      </c>
    </row>
    <row r="2265" spans="1:6">
      <c r="A2265" s="60">
        <v>226000</v>
      </c>
      <c r="B2265" s="60">
        <f t="shared" si="176"/>
        <v>4753946</v>
      </c>
      <c r="C2265" s="60">
        <f t="shared" si="179"/>
        <v>4753946</v>
      </c>
      <c r="D2265" s="61">
        <f t="shared" si="175"/>
        <v>1</v>
      </c>
      <c r="E2265" s="64">
        <f t="shared" si="177"/>
        <v>475.3945729601885</v>
      </c>
      <c r="F2265" s="62" t="str">
        <f t="shared" si="178"/>
        <v/>
      </c>
    </row>
    <row r="2266" spans="1:6">
      <c r="A2266" s="60">
        <v>226100</v>
      </c>
      <c r="B2266" s="60">
        <f t="shared" si="176"/>
        <v>4754997</v>
      </c>
      <c r="C2266" s="60">
        <f t="shared" si="179"/>
        <v>4754997</v>
      </c>
      <c r="D2266" s="61">
        <f t="shared" si="175"/>
        <v>1</v>
      </c>
      <c r="E2266" s="64">
        <f t="shared" si="177"/>
        <v>475.49973711874964</v>
      </c>
      <c r="F2266" s="62" t="str">
        <f t="shared" si="178"/>
        <v/>
      </c>
    </row>
    <row r="2267" spans="1:6">
      <c r="A2267" s="60">
        <v>226200</v>
      </c>
      <c r="B2267" s="60">
        <f t="shared" si="176"/>
        <v>4756049</v>
      </c>
      <c r="C2267" s="60">
        <f t="shared" si="179"/>
        <v>4756049</v>
      </c>
      <c r="D2267" s="61">
        <f t="shared" si="175"/>
        <v>1</v>
      </c>
      <c r="E2267" s="64">
        <f t="shared" si="177"/>
        <v>475.60487802376457</v>
      </c>
      <c r="F2267" s="62" t="str">
        <f t="shared" si="178"/>
        <v/>
      </c>
    </row>
    <row r="2268" spans="1:6">
      <c r="A2268" s="60">
        <v>226300</v>
      </c>
      <c r="B2268" s="60">
        <f t="shared" si="176"/>
        <v>4757100</v>
      </c>
      <c r="C2268" s="60">
        <f t="shared" si="179"/>
        <v>4757100</v>
      </c>
      <c r="D2268" s="61">
        <f t="shared" si="175"/>
        <v>1</v>
      </c>
      <c r="E2268" s="64">
        <f t="shared" si="177"/>
        <v>475.70999569065185</v>
      </c>
      <c r="F2268" s="62" t="str">
        <f t="shared" si="178"/>
        <v/>
      </c>
    </row>
    <row r="2269" spans="1:6">
      <c r="A2269" s="60">
        <v>226400</v>
      </c>
      <c r="B2269" s="60">
        <f t="shared" si="176"/>
        <v>4758151</v>
      </c>
      <c r="C2269" s="60">
        <f t="shared" si="179"/>
        <v>4758151</v>
      </c>
      <c r="D2269" s="61">
        <f t="shared" si="175"/>
        <v>1</v>
      </c>
      <c r="E2269" s="64">
        <f t="shared" si="177"/>
        <v>475.81509013481275</v>
      </c>
      <c r="F2269" s="62" t="str">
        <f t="shared" si="178"/>
        <v/>
      </c>
    </row>
    <row r="2270" spans="1:6">
      <c r="A2270" s="60">
        <v>226500</v>
      </c>
      <c r="B2270" s="60">
        <f t="shared" si="176"/>
        <v>4759202</v>
      </c>
      <c r="C2270" s="60">
        <f t="shared" si="179"/>
        <v>4759202</v>
      </c>
      <c r="D2270" s="61">
        <f t="shared" si="175"/>
        <v>1</v>
      </c>
      <c r="E2270" s="64">
        <f t="shared" si="177"/>
        <v>475.92016137163176</v>
      </c>
      <c r="F2270" s="62" t="str">
        <f t="shared" si="178"/>
        <v/>
      </c>
    </row>
    <row r="2271" spans="1:6">
      <c r="A2271" s="60">
        <v>226600</v>
      </c>
      <c r="B2271" s="60">
        <f t="shared" si="176"/>
        <v>4760252</v>
      </c>
      <c r="C2271" s="60">
        <f t="shared" si="179"/>
        <v>4760252</v>
      </c>
      <c r="D2271" s="61">
        <f t="shared" si="175"/>
        <v>1</v>
      </c>
      <c r="E2271" s="64">
        <f t="shared" si="177"/>
        <v>476.02520941647617</v>
      </c>
      <c r="F2271" s="62" t="str">
        <f t="shared" si="178"/>
        <v/>
      </c>
    </row>
    <row r="2272" spans="1:6">
      <c r="A2272" s="60">
        <v>226700</v>
      </c>
      <c r="B2272" s="60">
        <f t="shared" si="176"/>
        <v>4761302</v>
      </c>
      <c r="C2272" s="60">
        <f t="shared" si="179"/>
        <v>4761302</v>
      </c>
      <c r="D2272" s="61">
        <f t="shared" si="175"/>
        <v>1</v>
      </c>
      <c r="E2272" s="64">
        <f t="shared" si="177"/>
        <v>476.13023428469654</v>
      </c>
      <c r="F2272" s="62" t="str">
        <f t="shared" si="178"/>
        <v/>
      </c>
    </row>
    <row r="2273" spans="1:6">
      <c r="A2273" s="60">
        <v>226800</v>
      </c>
      <c r="B2273" s="60">
        <f t="shared" si="176"/>
        <v>4762352</v>
      </c>
      <c r="C2273" s="60">
        <f t="shared" si="179"/>
        <v>4762352</v>
      </c>
      <c r="D2273" s="61">
        <f t="shared" si="175"/>
        <v>1</v>
      </c>
      <c r="E2273" s="64">
        <f t="shared" si="177"/>
        <v>476.23523599162633</v>
      </c>
      <c r="F2273" s="62" t="str">
        <f t="shared" si="178"/>
        <v/>
      </c>
    </row>
    <row r="2274" spans="1:6">
      <c r="A2274" s="60">
        <v>226900</v>
      </c>
      <c r="B2274" s="60">
        <f t="shared" si="176"/>
        <v>4763402</v>
      </c>
      <c r="C2274" s="60">
        <f t="shared" si="179"/>
        <v>4763402</v>
      </c>
      <c r="D2274" s="61">
        <f t="shared" si="175"/>
        <v>1</v>
      </c>
      <c r="E2274" s="64">
        <f t="shared" si="177"/>
        <v>476.34021455258215</v>
      </c>
      <c r="F2274" s="62" t="str">
        <f t="shared" si="178"/>
        <v/>
      </c>
    </row>
    <row r="2275" spans="1:6">
      <c r="A2275" s="60">
        <v>227000</v>
      </c>
      <c r="B2275" s="60">
        <f t="shared" si="176"/>
        <v>4764452</v>
      </c>
      <c r="C2275" s="60">
        <f t="shared" si="179"/>
        <v>4764452</v>
      </c>
      <c r="D2275" s="61">
        <f t="shared" si="175"/>
        <v>1</v>
      </c>
      <c r="E2275" s="64">
        <f t="shared" si="177"/>
        <v>476.44516998286383</v>
      </c>
      <c r="F2275" s="62" t="str">
        <f t="shared" si="178"/>
        <v/>
      </c>
    </row>
    <row r="2276" spans="1:6">
      <c r="A2276" s="60">
        <v>227100</v>
      </c>
      <c r="B2276" s="60">
        <f t="shared" si="176"/>
        <v>4765501</v>
      </c>
      <c r="C2276" s="60">
        <f t="shared" si="179"/>
        <v>4765501</v>
      </c>
      <c r="D2276" s="61">
        <f t="shared" si="175"/>
        <v>1</v>
      </c>
      <c r="E2276" s="64">
        <f t="shared" si="177"/>
        <v>476.55010229775422</v>
      </c>
      <c r="F2276" s="62" t="str">
        <f t="shared" si="178"/>
        <v/>
      </c>
    </row>
    <row r="2277" spans="1:6">
      <c r="A2277" s="60">
        <v>227200</v>
      </c>
      <c r="B2277" s="60">
        <f t="shared" si="176"/>
        <v>4766550</v>
      </c>
      <c r="C2277" s="60">
        <f t="shared" si="179"/>
        <v>4766550</v>
      </c>
      <c r="D2277" s="61">
        <f t="shared" si="175"/>
        <v>1</v>
      </c>
      <c r="E2277" s="64">
        <f t="shared" si="177"/>
        <v>476.65501151251942</v>
      </c>
      <c r="F2277" s="62" t="str">
        <f t="shared" si="178"/>
        <v/>
      </c>
    </row>
    <row r="2278" spans="1:6">
      <c r="A2278" s="60">
        <v>227300</v>
      </c>
      <c r="B2278" s="60">
        <f t="shared" si="176"/>
        <v>4767599</v>
      </c>
      <c r="C2278" s="60">
        <f t="shared" si="179"/>
        <v>4767599</v>
      </c>
      <c r="D2278" s="61">
        <f t="shared" si="175"/>
        <v>1</v>
      </c>
      <c r="E2278" s="64">
        <f t="shared" si="177"/>
        <v>476.7598976424087</v>
      </c>
      <c r="F2278" s="62" t="str">
        <f t="shared" si="178"/>
        <v/>
      </c>
    </row>
    <row r="2279" spans="1:6">
      <c r="A2279" s="60">
        <v>227400</v>
      </c>
      <c r="B2279" s="60">
        <f t="shared" si="176"/>
        <v>4768648</v>
      </c>
      <c r="C2279" s="60">
        <f t="shared" si="179"/>
        <v>4768648</v>
      </c>
      <c r="D2279" s="61">
        <f t="shared" si="175"/>
        <v>1</v>
      </c>
      <c r="E2279" s="64">
        <f t="shared" si="177"/>
        <v>476.86476070265456</v>
      </c>
      <c r="F2279" s="62" t="str">
        <f t="shared" si="178"/>
        <v/>
      </c>
    </row>
    <row r="2280" spans="1:6">
      <c r="A2280" s="60">
        <v>227500</v>
      </c>
      <c r="B2280" s="60">
        <f t="shared" si="176"/>
        <v>4769696</v>
      </c>
      <c r="C2280" s="60">
        <f t="shared" si="179"/>
        <v>4769696</v>
      </c>
      <c r="D2280" s="61">
        <f t="shared" si="175"/>
        <v>1</v>
      </c>
      <c r="E2280" s="64">
        <f t="shared" si="177"/>
        <v>476.9696007084728</v>
      </c>
      <c r="F2280" s="62" t="str">
        <f t="shared" si="178"/>
        <v/>
      </c>
    </row>
    <row r="2281" spans="1:6">
      <c r="A2281" s="60">
        <v>227600</v>
      </c>
      <c r="B2281" s="60">
        <f t="shared" si="176"/>
        <v>4770744</v>
      </c>
      <c r="C2281" s="60">
        <f t="shared" si="179"/>
        <v>4770744</v>
      </c>
      <c r="D2281" s="61">
        <f t="shared" si="175"/>
        <v>1</v>
      </c>
      <c r="E2281" s="64">
        <f t="shared" si="177"/>
        <v>477.07441767506253</v>
      </c>
      <c r="F2281" s="62" t="str">
        <f t="shared" si="178"/>
        <v/>
      </c>
    </row>
    <row r="2282" spans="1:6">
      <c r="A2282" s="60">
        <v>227700</v>
      </c>
      <c r="B2282" s="60">
        <f t="shared" si="176"/>
        <v>4771792</v>
      </c>
      <c r="C2282" s="60">
        <f t="shared" si="179"/>
        <v>4771792</v>
      </c>
      <c r="D2282" s="61">
        <f t="shared" si="175"/>
        <v>1</v>
      </c>
      <c r="E2282" s="64">
        <f t="shared" si="177"/>
        <v>477.17921161760597</v>
      </c>
      <c r="F2282" s="62" t="str">
        <f t="shared" si="178"/>
        <v/>
      </c>
    </row>
    <row r="2283" spans="1:6">
      <c r="A2283" s="60">
        <v>227800</v>
      </c>
      <c r="B2283" s="60">
        <f t="shared" si="176"/>
        <v>4772840</v>
      </c>
      <c r="C2283" s="60">
        <f t="shared" si="179"/>
        <v>4772840</v>
      </c>
      <c r="D2283" s="61">
        <f t="shared" si="175"/>
        <v>1</v>
      </c>
      <c r="E2283" s="64">
        <f t="shared" si="177"/>
        <v>477.28398255126893</v>
      </c>
      <c r="F2283" s="62" t="str">
        <f t="shared" si="178"/>
        <v/>
      </c>
    </row>
    <row r="2284" spans="1:6">
      <c r="A2284" s="60">
        <v>227900</v>
      </c>
      <c r="B2284" s="60">
        <f t="shared" si="176"/>
        <v>4773887</v>
      </c>
      <c r="C2284" s="60">
        <f t="shared" si="179"/>
        <v>4773887</v>
      </c>
      <c r="D2284" s="61">
        <f t="shared" si="175"/>
        <v>1</v>
      </c>
      <c r="E2284" s="64">
        <f t="shared" si="177"/>
        <v>477.38873049120042</v>
      </c>
      <c r="F2284" s="62" t="str">
        <f t="shared" si="178"/>
        <v/>
      </c>
    </row>
    <row r="2285" spans="1:6">
      <c r="A2285" s="60">
        <v>228000</v>
      </c>
      <c r="B2285" s="60">
        <f t="shared" si="176"/>
        <v>4774935</v>
      </c>
      <c r="C2285" s="60">
        <f t="shared" si="179"/>
        <v>4774935</v>
      </c>
      <c r="D2285" s="61">
        <f t="shared" si="175"/>
        <v>1</v>
      </c>
      <c r="E2285" s="64">
        <f t="shared" si="177"/>
        <v>477.49345545253288</v>
      </c>
      <c r="F2285" s="62" t="str">
        <f t="shared" si="178"/>
        <v/>
      </c>
    </row>
    <row r="2286" spans="1:6">
      <c r="A2286" s="60">
        <v>228100</v>
      </c>
      <c r="B2286" s="60">
        <f t="shared" si="176"/>
        <v>4775982</v>
      </c>
      <c r="C2286" s="60">
        <f t="shared" si="179"/>
        <v>4775982</v>
      </c>
      <c r="D2286" s="61">
        <f t="shared" si="175"/>
        <v>1</v>
      </c>
      <c r="E2286" s="64">
        <f t="shared" si="177"/>
        <v>477.59815745038213</v>
      </c>
      <c r="F2286" s="62" t="str">
        <f t="shared" si="178"/>
        <v/>
      </c>
    </row>
    <row r="2287" spans="1:6">
      <c r="A2287" s="60">
        <v>228200</v>
      </c>
      <c r="B2287" s="60">
        <f t="shared" si="176"/>
        <v>4777028</v>
      </c>
      <c r="C2287" s="60">
        <f t="shared" si="179"/>
        <v>4777028</v>
      </c>
      <c r="D2287" s="61">
        <f t="shared" si="175"/>
        <v>1</v>
      </c>
      <c r="E2287" s="64">
        <f t="shared" si="177"/>
        <v>477.70283649984748</v>
      </c>
      <c r="F2287" s="62" t="str">
        <f t="shared" si="178"/>
        <v/>
      </c>
    </row>
    <row r="2288" spans="1:6">
      <c r="A2288" s="60">
        <v>228300</v>
      </c>
      <c r="B2288" s="60">
        <f t="shared" si="176"/>
        <v>4778075</v>
      </c>
      <c r="C2288" s="60">
        <f t="shared" si="179"/>
        <v>4778075</v>
      </c>
      <c r="D2288" s="61">
        <f t="shared" si="175"/>
        <v>1</v>
      </c>
      <c r="E2288" s="64">
        <f t="shared" si="177"/>
        <v>477.80749261601164</v>
      </c>
      <c r="F2288" s="62" t="str">
        <f t="shared" si="178"/>
        <v/>
      </c>
    </row>
    <row r="2289" spans="1:6">
      <c r="A2289" s="60">
        <v>228400</v>
      </c>
      <c r="B2289" s="60">
        <f t="shared" si="176"/>
        <v>4779121</v>
      </c>
      <c r="C2289" s="60">
        <f t="shared" si="179"/>
        <v>4779121</v>
      </c>
      <c r="D2289" s="61">
        <f t="shared" si="175"/>
        <v>1</v>
      </c>
      <c r="E2289" s="64">
        <f t="shared" si="177"/>
        <v>477.9121258139408</v>
      </c>
      <c r="F2289" s="62" t="str">
        <f t="shared" si="178"/>
        <v/>
      </c>
    </row>
    <row r="2290" spans="1:6">
      <c r="A2290" s="60">
        <v>228500</v>
      </c>
      <c r="B2290" s="60">
        <f t="shared" si="176"/>
        <v>4780167</v>
      </c>
      <c r="C2290" s="60">
        <f t="shared" si="179"/>
        <v>4780167</v>
      </c>
      <c r="D2290" s="61">
        <f t="shared" si="175"/>
        <v>1</v>
      </c>
      <c r="E2290" s="64">
        <f t="shared" si="177"/>
        <v>478.01673610868482</v>
      </c>
      <c r="F2290" s="62" t="str">
        <f t="shared" si="178"/>
        <v/>
      </c>
    </row>
    <row r="2291" spans="1:6">
      <c r="A2291" s="60">
        <v>228600</v>
      </c>
      <c r="B2291" s="60">
        <f t="shared" si="176"/>
        <v>4781213</v>
      </c>
      <c r="C2291" s="60">
        <f t="shared" si="179"/>
        <v>4781213</v>
      </c>
      <c r="D2291" s="61">
        <f t="shared" si="175"/>
        <v>1</v>
      </c>
      <c r="E2291" s="64">
        <f t="shared" si="177"/>
        <v>478.1213235152768</v>
      </c>
      <c r="F2291" s="62" t="str">
        <f t="shared" si="178"/>
        <v/>
      </c>
    </row>
    <row r="2292" spans="1:6">
      <c r="A2292" s="60">
        <v>228700</v>
      </c>
      <c r="B2292" s="60">
        <f t="shared" si="176"/>
        <v>4782259</v>
      </c>
      <c r="C2292" s="60">
        <f t="shared" si="179"/>
        <v>4782259</v>
      </c>
      <c r="D2292" s="61">
        <f t="shared" si="175"/>
        <v>1</v>
      </c>
      <c r="E2292" s="64">
        <f t="shared" si="177"/>
        <v>478.22588804873374</v>
      </c>
      <c r="F2292" s="62" t="str">
        <f t="shared" si="178"/>
        <v/>
      </c>
    </row>
    <row r="2293" spans="1:6">
      <c r="A2293" s="60">
        <v>228800</v>
      </c>
      <c r="B2293" s="60">
        <f t="shared" si="176"/>
        <v>4783304</v>
      </c>
      <c r="C2293" s="60">
        <f t="shared" si="179"/>
        <v>4783304</v>
      </c>
      <c r="D2293" s="61">
        <f t="shared" si="175"/>
        <v>1</v>
      </c>
      <c r="E2293" s="64">
        <f t="shared" si="177"/>
        <v>478.33042972405593</v>
      </c>
      <c r="F2293" s="62" t="str">
        <f t="shared" si="178"/>
        <v/>
      </c>
    </row>
    <row r="2294" spans="1:6">
      <c r="A2294" s="60">
        <v>228900</v>
      </c>
      <c r="B2294" s="60">
        <f t="shared" si="176"/>
        <v>4784349</v>
      </c>
      <c r="C2294" s="60">
        <f t="shared" si="179"/>
        <v>4784349</v>
      </c>
      <c r="D2294" s="61">
        <f t="shared" si="175"/>
        <v>1</v>
      </c>
      <c r="E2294" s="64">
        <f t="shared" si="177"/>
        <v>478.43494855622743</v>
      </c>
      <c r="F2294" s="62" t="str">
        <f t="shared" si="178"/>
        <v/>
      </c>
    </row>
    <row r="2295" spans="1:6">
      <c r="A2295" s="60">
        <v>229000</v>
      </c>
      <c r="B2295" s="60">
        <f t="shared" si="176"/>
        <v>4785394</v>
      </c>
      <c r="C2295" s="60">
        <f t="shared" si="179"/>
        <v>4785394</v>
      </c>
      <c r="D2295" s="61">
        <f t="shared" si="175"/>
        <v>1</v>
      </c>
      <c r="E2295" s="64">
        <f t="shared" si="177"/>
        <v>478.53944456021594</v>
      </c>
      <c r="F2295" s="62" t="str">
        <f t="shared" si="178"/>
        <v/>
      </c>
    </row>
    <row r="2296" spans="1:6">
      <c r="A2296" s="60">
        <v>229100</v>
      </c>
      <c r="B2296" s="60">
        <f t="shared" si="176"/>
        <v>4786439</v>
      </c>
      <c r="C2296" s="60">
        <f t="shared" si="179"/>
        <v>4786439</v>
      </c>
      <c r="D2296" s="61">
        <f t="shared" si="175"/>
        <v>1</v>
      </c>
      <c r="E2296" s="64">
        <f t="shared" si="177"/>
        <v>478.64391775097278</v>
      </c>
      <c r="F2296" s="62" t="str">
        <f t="shared" si="178"/>
        <v/>
      </c>
    </row>
    <row r="2297" spans="1:6">
      <c r="A2297" s="60">
        <v>229200</v>
      </c>
      <c r="B2297" s="60">
        <f t="shared" si="176"/>
        <v>4787484</v>
      </c>
      <c r="C2297" s="60">
        <f t="shared" si="179"/>
        <v>4787484</v>
      </c>
      <c r="D2297" s="61">
        <f t="shared" si="175"/>
        <v>1</v>
      </c>
      <c r="E2297" s="64">
        <f t="shared" si="177"/>
        <v>478.74836814343297</v>
      </c>
      <c r="F2297" s="62" t="str">
        <f t="shared" si="178"/>
        <v/>
      </c>
    </row>
    <row r="2298" spans="1:6">
      <c r="A2298" s="60">
        <v>229300</v>
      </c>
      <c r="B2298" s="60">
        <f t="shared" si="176"/>
        <v>4788528</v>
      </c>
      <c r="C2298" s="60">
        <f t="shared" si="179"/>
        <v>4788528</v>
      </c>
      <c r="D2298" s="61">
        <f t="shared" si="175"/>
        <v>1</v>
      </c>
      <c r="E2298" s="64">
        <f t="shared" si="177"/>
        <v>478.85279575251514</v>
      </c>
      <c r="F2298" s="62" t="str">
        <f t="shared" si="178"/>
        <v/>
      </c>
    </row>
    <row r="2299" spans="1:6">
      <c r="A2299" s="60">
        <v>229400</v>
      </c>
      <c r="B2299" s="60">
        <f t="shared" si="176"/>
        <v>4789572</v>
      </c>
      <c r="C2299" s="60">
        <f t="shared" si="179"/>
        <v>4789572</v>
      </c>
      <c r="D2299" s="61">
        <f t="shared" si="175"/>
        <v>1</v>
      </c>
      <c r="E2299" s="64">
        <f t="shared" si="177"/>
        <v>478.95720059312191</v>
      </c>
      <c r="F2299" s="62" t="str">
        <f t="shared" si="178"/>
        <v/>
      </c>
    </row>
    <row r="2300" spans="1:6">
      <c r="A2300" s="60">
        <v>229500</v>
      </c>
      <c r="B2300" s="60">
        <f t="shared" si="176"/>
        <v>4790616</v>
      </c>
      <c r="C2300" s="60">
        <f t="shared" si="179"/>
        <v>4790616</v>
      </c>
      <c r="D2300" s="61">
        <f t="shared" si="175"/>
        <v>1</v>
      </c>
      <c r="E2300" s="64">
        <f t="shared" si="177"/>
        <v>479.06158268013934</v>
      </c>
      <c r="F2300" s="62" t="str">
        <f t="shared" si="178"/>
        <v/>
      </c>
    </row>
    <row r="2301" spans="1:6">
      <c r="A2301" s="60">
        <v>229600</v>
      </c>
      <c r="B2301" s="60">
        <f t="shared" si="176"/>
        <v>4791659</v>
      </c>
      <c r="C2301" s="60">
        <f t="shared" si="179"/>
        <v>4791659</v>
      </c>
      <c r="D2301" s="61">
        <f t="shared" si="175"/>
        <v>1</v>
      </c>
      <c r="E2301" s="64">
        <f t="shared" si="177"/>
        <v>479.1659420284376</v>
      </c>
      <c r="F2301" s="62" t="str">
        <f t="shared" si="178"/>
        <v/>
      </c>
    </row>
    <row r="2302" spans="1:6">
      <c r="A2302" s="60">
        <v>229700</v>
      </c>
      <c r="B2302" s="60">
        <f t="shared" si="176"/>
        <v>4792703</v>
      </c>
      <c r="C2302" s="60">
        <f t="shared" si="179"/>
        <v>4792703</v>
      </c>
      <c r="D2302" s="61">
        <f t="shared" si="175"/>
        <v>1</v>
      </c>
      <c r="E2302" s="64">
        <f t="shared" si="177"/>
        <v>479.27027865287033</v>
      </c>
      <c r="F2302" s="62" t="str">
        <f t="shared" si="178"/>
        <v/>
      </c>
    </row>
    <row r="2303" spans="1:6">
      <c r="A2303" s="60">
        <v>229800</v>
      </c>
      <c r="B2303" s="60">
        <f t="shared" si="176"/>
        <v>4793746</v>
      </c>
      <c r="C2303" s="60">
        <f t="shared" si="179"/>
        <v>4793746</v>
      </c>
      <c r="D2303" s="61">
        <f t="shared" si="175"/>
        <v>1</v>
      </c>
      <c r="E2303" s="64">
        <f t="shared" si="177"/>
        <v>479.37459256827538</v>
      </c>
      <c r="F2303" s="62" t="str">
        <f t="shared" si="178"/>
        <v/>
      </c>
    </row>
    <row r="2304" spans="1:6">
      <c r="A2304" s="60">
        <v>229900</v>
      </c>
      <c r="B2304" s="60">
        <f t="shared" si="176"/>
        <v>4794789</v>
      </c>
      <c r="C2304" s="60">
        <f t="shared" si="179"/>
        <v>4794789</v>
      </c>
      <c r="D2304" s="61">
        <f t="shared" si="175"/>
        <v>1</v>
      </c>
      <c r="E2304" s="64">
        <f t="shared" si="177"/>
        <v>479.47888378947408</v>
      </c>
      <c r="F2304" s="62" t="str">
        <f t="shared" si="178"/>
        <v/>
      </c>
    </row>
    <row r="2305" spans="1:6">
      <c r="A2305" s="60">
        <v>230000</v>
      </c>
      <c r="B2305" s="60">
        <f t="shared" si="176"/>
        <v>4795832</v>
      </c>
      <c r="C2305" s="60">
        <f t="shared" si="179"/>
        <v>4795832</v>
      </c>
      <c r="D2305" s="61">
        <f t="shared" si="175"/>
        <v>1</v>
      </c>
      <c r="E2305" s="64">
        <f t="shared" si="177"/>
        <v>479.58315233127195</v>
      </c>
      <c r="F2305" s="62" t="str">
        <f t="shared" si="178"/>
        <v/>
      </c>
    </row>
    <row r="2306" spans="1:6">
      <c r="A2306" s="60">
        <v>230100</v>
      </c>
      <c r="B2306" s="60">
        <f t="shared" si="176"/>
        <v>4796874</v>
      </c>
      <c r="C2306" s="60">
        <f t="shared" si="179"/>
        <v>4796874</v>
      </c>
      <c r="D2306" s="61">
        <f t="shared" si="175"/>
        <v>1</v>
      </c>
      <c r="E2306" s="64">
        <f t="shared" si="177"/>
        <v>479.68739820845826</v>
      </c>
      <c r="F2306" s="62" t="str">
        <f t="shared" si="178"/>
        <v/>
      </c>
    </row>
    <row r="2307" spans="1:6">
      <c r="A2307" s="60">
        <v>230200</v>
      </c>
      <c r="B2307" s="60">
        <f t="shared" si="176"/>
        <v>4797916</v>
      </c>
      <c r="C2307" s="60">
        <f t="shared" si="179"/>
        <v>4797916</v>
      </c>
      <c r="D2307" s="61">
        <f t="shared" si="175"/>
        <v>1</v>
      </c>
      <c r="E2307" s="64">
        <f t="shared" si="177"/>
        <v>479.79162143580623</v>
      </c>
      <c r="F2307" s="62" t="str">
        <f t="shared" si="178"/>
        <v/>
      </c>
    </row>
    <row r="2308" spans="1:6">
      <c r="A2308" s="60">
        <v>230300</v>
      </c>
      <c r="B2308" s="60">
        <f t="shared" si="176"/>
        <v>4798958</v>
      </c>
      <c r="C2308" s="60">
        <f t="shared" si="179"/>
        <v>4798958</v>
      </c>
      <c r="D2308" s="61">
        <f t="shared" si="175"/>
        <v>1</v>
      </c>
      <c r="E2308" s="64">
        <f t="shared" si="177"/>
        <v>479.8958220280731</v>
      </c>
      <c r="F2308" s="62" t="str">
        <f t="shared" si="178"/>
        <v/>
      </c>
    </row>
    <row r="2309" spans="1:6">
      <c r="A2309" s="60">
        <v>230400</v>
      </c>
      <c r="B2309" s="60">
        <f t="shared" si="176"/>
        <v>4800000</v>
      </c>
      <c r="C2309" s="60">
        <f t="shared" si="179"/>
        <v>4800000</v>
      </c>
      <c r="D2309" s="61">
        <f t="shared" ref="D2309:D2372" si="180">(A2309-INDEX(兵力区间,MATCH(A2309,兵力区间,1)))/(INDEX(兵力区间,MATCH(A2309,兵力区间,1)+1)-INDEX(兵力区间,MATCH(A2309,兵力区间,1)))*((INDEX(兵力调节,MATCH(A2309,兵力区间,1)+1,2)-INDEX(兵力调节,MATCH(A2309,兵力区间,1),2)))+INDEX(兵力调节,MATCH(A2309,兵力区间,1),2)</f>
        <v>1</v>
      </c>
      <c r="E2309" s="64">
        <f t="shared" si="177"/>
        <v>480</v>
      </c>
      <c r="F2309" s="62" t="str">
        <f t="shared" si="178"/>
        <v/>
      </c>
    </row>
    <row r="2310" spans="1:6">
      <c r="A2310" s="60">
        <v>230500</v>
      </c>
      <c r="B2310" s="60">
        <f t="shared" si="176"/>
        <v>4801042</v>
      </c>
      <c r="C2310" s="60">
        <f t="shared" si="179"/>
        <v>4801042</v>
      </c>
      <c r="D2310" s="61">
        <f t="shared" si="180"/>
        <v>1</v>
      </c>
      <c r="E2310" s="64">
        <f t="shared" si="177"/>
        <v>480.10415536631217</v>
      </c>
      <c r="F2310" s="62" t="str">
        <f t="shared" si="178"/>
        <v/>
      </c>
    </row>
    <row r="2311" spans="1:6">
      <c r="A2311" s="60">
        <v>230600</v>
      </c>
      <c r="B2311" s="60">
        <f t="shared" ref="B2311:B2374" si="181">ROUND(D2311*E2311*10000,0)</f>
        <v>4802083</v>
      </c>
      <c r="C2311" s="60">
        <f t="shared" si="179"/>
        <v>4802083</v>
      </c>
      <c r="D2311" s="61">
        <f t="shared" si="180"/>
        <v>1</v>
      </c>
      <c r="E2311" s="64">
        <f t="shared" ref="E2311:E2374" si="182">A2311^0.5</f>
        <v>480.20828814171875</v>
      </c>
      <c r="F2311" s="62" t="str">
        <f t="shared" si="178"/>
        <v/>
      </c>
    </row>
    <row r="2312" spans="1:6">
      <c r="A2312" s="60">
        <v>230700</v>
      </c>
      <c r="B2312" s="60">
        <f t="shared" si="181"/>
        <v>4803124</v>
      </c>
      <c r="C2312" s="60">
        <f t="shared" si="179"/>
        <v>4803124</v>
      </c>
      <c r="D2312" s="61">
        <f t="shared" si="180"/>
        <v>1</v>
      </c>
      <c r="E2312" s="64">
        <f t="shared" si="182"/>
        <v>480.31239834091309</v>
      </c>
      <c r="F2312" s="62" t="str">
        <f t="shared" ref="F2312:F2375" si="183">IF(B2312&lt;B2311,1,"")</f>
        <v/>
      </c>
    </row>
    <row r="2313" spans="1:6">
      <c r="A2313" s="60">
        <v>230800</v>
      </c>
      <c r="B2313" s="60">
        <f t="shared" si="181"/>
        <v>4804165</v>
      </c>
      <c r="C2313" s="60">
        <f t="shared" si="179"/>
        <v>4804165</v>
      </c>
      <c r="D2313" s="61">
        <f t="shared" si="180"/>
        <v>1</v>
      </c>
      <c r="E2313" s="64">
        <f t="shared" si="182"/>
        <v>480.41648597857255</v>
      </c>
      <c r="F2313" s="62" t="str">
        <f t="shared" si="183"/>
        <v/>
      </c>
    </row>
    <row r="2314" spans="1:6">
      <c r="A2314" s="60">
        <v>230900</v>
      </c>
      <c r="B2314" s="60">
        <f t="shared" si="181"/>
        <v>4805206</v>
      </c>
      <c r="C2314" s="60">
        <f t="shared" si="179"/>
        <v>4805206</v>
      </c>
      <c r="D2314" s="61">
        <f t="shared" si="180"/>
        <v>1</v>
      </c>
      <c r="E2314" s="64">
        <f t="shared" si="182"/>
        <v>480.52055106935853</v>
      </c>
      <c r="F2314" s="62" t="str">
        <f t="shared" si="183"/>
        <v/>
      </c>
    </row>
    <row r="2315" spans="1:6">
      <c r="A2315" s="60">
        <v>231000</v>
      </c>
      <c r="B2315" s="60">
        <f t="shared" si="181"/>
        <v>4806246</v>
      </c>
      <c r="C2315" s="60">
        <f t="shared" ref="C2315:C2378" si="184">ROUND(D2315*E2315*10000,0)</f>
        <v>4806246</v>
      </c>
      <c r="D2315" s="61">
        <f t="shared" si="180"/>
        <v>1</v>
      </c>
      <c r="E2315" s="64">
        <f t="shared" si="182"/>
        <v>480.62459362791662</v>
      </c>
      <c r="F2315" s="62" t="str">
        <f t="shared" si="183"/>
        <v/>
      </c>
    </row>
    <row r="2316" spans="1:6">
      <c r="A2316" s="60">
        <v>231100</v>
      </c>
      <c r="B2316" s="60">
        <f t="shared" si="181"/>
        <v>4807286</v>
      </c>
      <c r="C2316" s="60">
        <f t="shared" si="184"/>
        <v>4807286</v>
      </c>
      <c r="D2316" s="61">
        <f t="shared" si="180"/>
        <v>1</v>
      </c>
      <c r="E2316" s="64">
        <f t="shared" si="182"/>
        <v>480.72861366887656</v>
      </c>
      <c r="F2316" s="62" t="str">
        <f t="shared" si="183"/>
        <v/>
      </c>
    </row>
    <row r="2317" spans="1:6">
      <c r="A2317" s="60">
        <v>231200</v>
      </c>
      <c r="B2317" s="60">
        <f t="shared" si="181"/>
        <v>4808326</v>
      </c>
      <c r="C2317" s="60">
        <f t="shared" si="184"/>
        <v>4808326</v>
      </c>
      <c r="D2317" s="61">
        <f t="shared" si="180"/>
        <v>1</v>
      </c>
      <c r="E2317" s="64">
        <f t="shared" si="182"/>
        <v>480.83261120685233</v>
      </c>
      <c r="F2317" s="62" t="str">
        <f t="shared" si="183"/>
        <v/>
      </c>
    </row>
    <row r="2318" spans="1:6">
      <c r="A2318" s="60">
        <v>231300</v>
      </c>
      <c r="B2318" s="60">
        <f t="shared" si="181"/>
        <v>4809366</v>
      </c>
      <c r="C2318" s="60">
        <f t="shared" si="184"/>
        <v>4809366</v>
      </c>
      <c r="D2318" s="61">
        <f t="shared" si="180"/>
        <v>1</v>
      </c>
      <c r="E2318" s="64">
        <f t="shared" si="182"/>
        <v>480.9365862564419</v>
      </c>
      <c r="F2318" s="62" t="str">
        <f t="shared" si="183"/>
        <v/>
      </c>
    </row>
    <row r="2319" spans="1:6">
      <c r="A2319" s="60">
        <v>231400</v>
      </c>
      <c r="B2319" s="60">
        <f t="shared" si="181"/>
        <v>4810405</v>
      </c>
      <c r="C2319" s="60">
        <f t="shared" si="184"/>
        <v>4810405</v>
      </c>
      <c r="D2319" s="61">
        <f t="shared" si="180"/>
        <v>1</v>
      </c>
      <c r="E2319" s="64">
        <f t="shared" si="182"/>
        <v>481.04053883222775</v>
      </c>
      <c r="F2319" s="62" t="str">
        <f t="shared" si="183"/>
        <v/>
      </c>
    </row>
    <row r="2320" spans="1:6">
      <c r="A2320" s="60">
        <v>231500</v>
      </c>
      <c r="B2320" s="60">
        <f t="shared" si="181"/>
        <v>4811445</v>
      </c>
      <c r="C2320" s="60">
        <f t="shared" si="184"/>
        <v>4811445</v>
      </c>
      <c r="D2320" s="61">
        <f t="shared" si="180"/>
        <v>1</v>
      </c>
      <c r="E2320" s="64">
        <f t="shared" si="182"/>
        <v>481.14446894877636</v>
      </c>
      <c r="F2320" s="62" t="str">
        <f t="shared" si="183"/>
        <v/>
      </c>
    </row>
    <row r="2321" spans="1:6">
      <c r="A2321" s="60">
        <v>231600</v>
      </c>
      <c r="B2321" s="60">
        <f t="shared" si="181"/>
        <v>4812484</v>
      </c>
      <c r="C2321" s="60">
        <f t="shared" si="184"/>
        <v>4812484</v>
      </c>
      <c r="D2321" s="61">
        <f t="shared" si="180"/>
        <v>1</v>
      </c>
      <c r="E2321" s="64">
        <f t="shared" si="182"/>
        <v>481.24837662063857</v>
      </c>
      <c r="F2321" s="62" t="str">
        <f t="shared" si="183"/>
        <v/>
      </c>
    </row>
    <row r="2322" spans="1:6">
      <c r="A2322" s="60">
        <v>231700</v>
      </c>
      <c r="B2322" s="60">
        <f t="shared" si="181"/>
        <v>4813523</v>
      </c>
      <c r="C2322" s="60">
        <f t="shared" si="184"/>
        <v>4813523</v>
      </c>
      <c r="D2322" s="61">
        <f t="shared" si="180"/>
        <v>1</v>
      </c>
      <c r="E2322" s="64">
        <f t="shared" si="182"/>
        <v>481.35226186234962</v>
      </c>
      <c r="F2322" s="62" t="str">
        <f t="shared" si="183"/>
        <v/>
      </c>
    </row>
    <row r="2323" spans="1:6">
      <c r="A2323" s="60">
        <v>231800</v>
      </c>
      <c r="B2323" s="60">
        <f t="shared" si="181"/>
        <v>4814561</v>
      </c>
      <c r="C2323" s="60">
        <f t="shared" si="184"/>
        <v>4814561</v>
      </c>
      <c r="D2323" s="61">
        <f t="shared" si="180"/>
        <v>1</v>
      </c>
      <c r="E2323" s="64">
        <f t="shared" si="182"/>
        <v>481.45612468842893</v>
      </c>
      <c r="F2323" s="62" t="str">
        <f t="shared" si="183"/>
        <v/>
      </c>
    </row>
    <row r="2324" spans="1:6">
      <c r="A2324" s="60">
        <v>231900</v>
      </c>
      <c r="B2324" s="60">
        <f t="shared" si="181"/>
        <v>4815600</v>
      </c>
      <c r="C2324" s="60">
        <f t="shared" si="184"/>
        <v>4815600</v>
      </c>
      <c r="D2324" s="61">
        <f t="shared" si="180"/>
        <v>1</v>
      </c>
      <c r="E2324" s="64">
        <f t="shared" si="182"/>
        <v>481.55996511338026</v>
      </c>
      <c r="F2324" s="62" t="str">
        <f t="shared" si="183"/>
        <v/>
      </c>
    </row>
    <row r="2325" spans="1:6">
      <c r="A2325" s="60">
        <v>232000</v>
      </c>
      <c r="B2325" s="60">
        <f t="shared" si="181"/>
        <v>4816638</v>
      </c>
      <c r="C2325" s="60">
        <f t="shared" si="184"/>
        <v>4816638</v>
      </c>
      <c r="D2325" s="61">
        <f t="shared" si="180"/>
        <v>1</v>
      </c>
      <c r="E2325" s="64">
        <f t="shared" si="182"/>
        <v>481.6637831516918</v>
      </c>
      <c r="F2325" s="62" t="str">
        <f t="shared" si="183"/>
        <v/>
      </c>
    </row>
    <row r="2326" spans="1:6">
      <c r="A2326" s="60">
        <v>232100</v>
      </c>
      <c r="B2326" s="60">
        <f t="shared" si="181"/>
        <v>4817676</v>
      </c>
      <c r="C2326" s="60">
        <f t="shared" si="184"/>
        <v>4817676</v>
      </c>
      <c r="D2326" s="61">
        <f t="shared" si="180"/>
        <v>1</v>
      </c>
      <c r="E2326" s="64">
        <f t="shared" si="182"/>
        <v>481.76757881783618</v>
      </c>
      <c r="F2326" s="62" t="str">
        <f t="shared" si="183"/>
        <v/>
      </c>
    </row>
    <row r="2327" spans="1:6">
      <c r="A2327" s="60">
        <v>232200</v>
      </c>
      <c r="B2327" s="60">
        <f t="shared" si="181"/>
        <v>4818714</v>
      </c>
      <c r="C2327" s="60">
        <f t="shared" si="184"/>
        <v>4818714</v>
      </c>
      <c r="D2327" s="61">
        <f t="shared" si="180"/>
        <v>1</v>
      </c>
      <c r="E2327" s="64">
        <f t="shared" si="182"/>
        <v>481.87135212627032</v>
      </c>
      <c r="F2327" s="62" t="str">
        <f t="shared" si="183"/>
        <v/>
      </c>
    </row>
    <row r="2328" spans="1:6">
      <c r="A2328" s="60">
        <v>232300</v>
      </c>
      <c r="B2328" s="60">
        <f t="shared" si="181"/>
        <v>4819751</v>
      </c>
      <c r="C2328" s="60">
        <f t="shared" si="184"/>
        <v>4819751</v>
      </c>
      <c r="D2328" s="61">
        <f t="shared" si="180"/>
        <v>1</v>
      </c>
      <c r="E2328" s="64">
        <f t="shared" si="182"/>
        <v>481.97510309143564</v>
      </c>
      <c r="F2328" s="62" t="str">
        <f t="shared" si="183"/>
        <v/>
      </c>
    </row>
    <row r="2329" spans="1:6">
      <c r="A2329" s="60">
        <v>232400</v>
      </c>
      <c r="B2329" s="60">
        <f t="shared" si="181"/>
        <v>4820788</v>
      </c>
      <c r="C2329" s="60">
        <f t="shared" si="184"/>
        <v>4820788</v>
      </c>
      <c r="D2329" s="61">
        <f t="shared" si="180"/>
        <v>1</v>
      </c>
      <c r="E2329" s="64">
        <f t="shared" si="182"/>
        <v>482.07883172775797</v>
      </c>
      <c r="F2329" s="62" t="str">
        <f t="shared" si="183"/>
        <v/>
      </c>
    </row>
    <row r="2330" spans="1:6">
      <c r="A2330" s="60">
        <v>232500</v>
      </c>
      <c r="B2330" s="60">
        <f t="shared" si="181"/>
        <v>4821825</v>
      </c>
      <c r="C2330" s="60">
        <f t="shared" si="184"/>
        <v>4821825</v>
      </c>
      <c r="D2330" s="61">
        <f t="shared" si="180"/>
        <v>1</v>
      </c>
      <c r="E2330" s="64">
        <f t="shared" si="182"/>
        <v>482.18253804964775</v>
      </c>
      <c r="F2330" s="62" t="str">
        <f t="shared" si="183"/>
        <v/>
      </c>
    </row>
    <row r="2331" spans="1:6">
      <c r="A2331" s="60">
        <v>232600</v>
      </c>
      <c r="B2331" s="60">
        <f t="shared" si="181"/>
        <v>4822862</v>
      </c>
      <c r="C2331" s="60">
        <f t="shared" si="184"/>
        <v>4822862</v>
      </c>
      <c r="D2331" s="61">
        <f t="shared" si="180"/>
        <v>1</v>
      </c>
      <c r="E2331" s="64">
        <f t="shared" si="182"/>
        <v>482.28622207149976</v>
      </c>
      <c r="F2331" s="62" t="str">
        <f t="shared" si="183"/>
        <v/>
      </c>
    </row>
    <row r="2332" spans="1:6">
      <c r="A2332" s="60">
        <v>232700</v>
      </c>
      <c r="B2332" s="60">
        <f t="shared" si="181"/>
        <v>4823899</v>
      </c>
      <c r="C2332" s="60">
        <f t="shared" si="184"/>
        <v>4823899</v>
      </c>
      <c r="D2332" s="61">
        <f t="shared" si="180"/>
        <v>1</v>
      </c>
      <c r="E2332" s="64">
        <f t="shared" si="182"/>
        <v>482.38988380769348</v>
      </c>
      <c r="F2332" s="62" t="str">
        <f t="shared" si="183"/>
        <v/>
      </c>
    </row>
    <row r="2333" spans="1:6">
      <c r="A2333" s="60">
        <v>232800</v>
      </c>
      <c r="B2333" s="60">
        <f t="shared" si="181"/>
        <v>4824935</v>
      </c>
      <c r="C2333" s="60">
        <f t="shared" si="184"/>
        <v>4824935</v>
      </c>
      <c r="D2333" s="61">
        <f t="shared" si="180"/>
        <v>1</v>
      </c>
      <c r="E2333" s="64">
        <f t="shared" si="182"/>
        <v>482.49352327259277</v>
      </c>
      <c r="F2333" s="62" t="str">
        <f t="shared" si="183"/>
        <v/>
      </c>
    </row>
    <row r="2334" spans="1:6">
      <c r="A2334" s="60">
        <v>232900</v>
      </c>
      <c r="B2334" s="60">
        <f t="shared" si="181"/>
        <v>4825971</v>
      </c>
      <c r="C2334" s="60">
        <f t="shared" si="184"/>
        <v>4825971</v>
      </c>
      <c r="D2334" s="61">
        <f t="shared" si="180"/>
        <v>1</v>
      </c>
      <c r="E2334" s="64">
        <f t="shared" si="182"/>
        <v>482.59714048054616</v>
      </c>
      <c r="F2334" s="62" t="str">
        <f t="shared" si="183"/>
        <v/>
      </c>
    </row>
    <row r="2335" spans="1:6">
      <c r="A2335" s="60">
        <v>233000</v>
      </c>
      <c r="B2335" s="60">
        <f t="shared" si="181"/>
        <v>4827007</v>
      </c>
      <c r="C2335" s="60">
        <f t="shared" si="184"/>
        <v>4827007</v>
      </c>
      <c r="D2335" s="61">
        <f t="shared" si="180"/>
        <v>1</v>
      </c>
      <c r="E2335" s="64">
        <f t="shared" si="182"/>
        <v>482.70073544588678</v>
      </c>
      <c r="F2335" s="62" t="str">
        <f t="shared" si="183"/>
        <v/>
      </c>
    </row>
    <row r="2336" spans="1:6">
      <c r="A2336" s="60">
        <v>233100</v>
      </c>
      <c r="B2336" s="60">
        <f t="shared" si="181"/>
        <v>4828043</v>
      </c>
      <c r="C2336" s="60">
        <f t="shared" si="184"/>
        <v>4828043</v>
      </c>
      <c r="D2336" s="61">
        <f t="shared" si="180"/>
        <v>1</v>
      </c>
      <c r="E2336" s="64">
        <f t="shared" si="182"/>
        <v>482.80430818293246</v>
      </c>
      <c r="F2336" s="62" t="str">
        <f t="shared" si="183"/>
        <v/>
      </c>
    </row>
    <row r="2337" spans="1:6">
      <c r="A2337" s="60">
        <v>233200</v>
      </c>
      <c r="B2337" s="60">
        <f t="shared" si="181"/>
        <v>4829079</v>
      </c>
      <c r="C2337" s="60">
        <f t="shared" si="184"/>
        <v>4829079</v>
      </c>
      <c r="D2337" s="61">
        <f t="shared" si="180"/>
        <v>1</v>
      </c>
      <c r="E2337" s="64">
        <f t="shared" si="182"/>
        <v>482.90785870598546</v>
      </c>
      <c r="F2337" s="62" t="str">
        <f t="shared" si="183"/>
        <v/>
      </c>
    </row>
    <row r="2338" spans="1:6">
      <c r="A2338" s="60">
        <v>233300</v>
      </c>
      <c r="B2338" s="60">
        <f t="shared" si="181"/>
        <v>4830114</v>
      </c>
      <c r="C2338" s="60">
        <f t="shared" si="184"/>
        <v>4830114</v>
      </c>
      <c r="D2338" s="61">
        <f t="shared" si="180"/>
        <v>1</v>
      </c>
      <c r="E2338" s="64">
        <f t="shared" si="182"/>
        <v>483.01138702933287</v>
      </c>
      <c r="F2338" s="62" t="str">
        <f t="shared" si="183"/>
        <v/>
      </c>
    </row>
    <row r="2339" spans="1:6">
      <c r="A2339" s="60">
        <v>233400</v>
      </c>
      <c r="B2339" s="60">
        <f t="shared" si="181"/>
        <v>4831149</v>
      </c>
      <c r="C2339" s="60">
        <f t="shared" si="184"/>
        <v>4831149</v>
      </c>
      <c r="D2339" s="61">
        <f t="shared" si="180"/>
        <v>1</v>
      </c>
      <c r="E2339" s="64">
        <f t="shared" si="182"/>
        <v>483.11489316724652</v>
      </c>
      <c r="F2339" s="62" t="str">
        <f t="shared" si="183"/>
        <v/>
      </c>
    </row>
    <row r="2340" spans="1:6">
      <c r="A2340" s="60">
        <v>233500</v>
      </c>
      <c r="B2340" s="60">
        <f t="shared" si="181"/>
        <v>4832184</v>
      </c>
      <c r="C2340" s="60">
        <f t="shared" si="184"/>
        <v>4832184</v>
      </c>
      <c r="D2340" s="61">
        <f t="shared" si="180"/>
        <v>1</v>
      </c>
      <c r="E2340" s="64">
        <f t="shared" si="182"/>
        <v>483.21837713398276</v>
      </c>
      <c r="F2340" s="62" t="str">
        <f t="shared" si="183"/>
        <v/>
      </c>
    </row>
    <row r="2341" spans="1:6">
      <c r="A2341" s="60">
        <v>233600</v>
      </c>
      <c r="B2341" s="60">
        <f t="shared" si="181"/>
        <v>4833218</v>
      </c>
      <c r="C2341" s="60">
        <f t="shared" si="184"/>
        <v>4833218</v>
      </c>
      <c r="D2341" s="61">
        <f t="shared" si="180"/>
        <v>1</v>
      </c>
      <c r="E2341" s="64">
        <f t="shared" si="182"/>
        <v>483.32183894378289</v>
      </c>
      <c r="F2341" s="62" t="str">
        <f t="shared" si="183"/>
        <v/>
      </c>
    </row>
    <row r="2342" spans="1:6">
      <c r="A2342" s="60">
        <v>233700</v>
      </c>
      <c r="B2342" s="60">
        <f t="shared" si="181"/>
        <v>4834253</v>
      </c>
      <c r="C2342" s="60">
        <f t="shared" si="184"/>
        <v>4834253</v>
      </c>
      <c r="D2342" s="61">
        <f t="shared" si="180"/>
        <v>1</v>
      </c>
      <c r="E2342" s="64">
        <f t="shared" si="182"/>
        <v>483.42527861087279</v>
      </c>
      <c r="F2342" s="62" t="str">
        <f t="shared" si="183"/>
        <v/>
      </c>
    </row>
    <row r="2343" spans="1:6">
      <c r="A2343" s="60">
        <v>233800</v>
      </c>
      <c r="B2343" s="60">
        <f t="shared" si="181"/>
        <v>4835287</v>
      </c>
      <c r="C2343" s="60">
        <f t="shared" si="184"/>
        <v>4835287</v>
      </c>
      <c r="D2343" s="61">
        <f t="shared" si="180"/>
        <v>1</v>
      </c>
      <c r="E2343" s="64">
        <f t="shared" si="182"/>
        <v>483.52869614946331</v>
      </c>
      <c r="F2343" s="62" t="str">
        <f t="shared" si="183"/>
        <v/>
      </c>
    </row>
    <row r="2344" spans="1:6">
      <c r="A2344" s="60">
        <v>233900</v>
      </c>
      <c r="B2344" s="60">
        <f t="shared" si="181"/>
        <v>4836321</v>
      </c>
      <c r="C2344" s="60">
        <f t="shared" si="184"/>
        <v>4836321</v>
      </c>
      <c r="D2344" s="61">
        <f t="shared" si="180"/>
        <v>1</v>
      </c>
      <c r="E2344" s="64">
        <f t="shared" si="182"/>
        <v>483.6320915737499</v>
      </c>
      <c r="F2344" s="62" t="str">
        <f t="shared" si="183"/>
        <v/>
      </c>
    </row>
    <row r="2345" spans="1:6">
      <c r="A2345" s="60">
        <v>234000</v>
      </c>
      <c r="B2345" s="60">
        <f t="shared" si="181"/>
        <v>4837355</v>
      </c>
      <c r="C2345" s="60">
        <f t="shared" si="184"/>
        <v>4837355</v>
      </c>
      <c r="D2345" s="61">
        <f t="shared" si="180"/>
        <v>1</v>
      </c>
      <c r="E2345" s="64">
        <f t="shared" si="182"/>
        <v>483.735464897913</v>
      </c>
      <c r="F2345" s="62" t="str">
        <f t="shared" si="183"/>
        <v/>
      </c>
    </row>
    <row r="2346" spans="1:6">
      <c r="A2346" s="60">
        <v>234100</v>
      </c>
      <c r="B2346" s="60">
        <f t="shared" si="181"/>
        <v>4838388</v>
      </c>
      <c r="C2346" s="60">
        <f t="shared" si="184"/>
        <v>4838388</v>
      </c>
      <c r="D2346" s="61">
        <f t="shared" si="180"/>
        <v>1</v>
      </c>
      <c r="E2346" s="64">
        <f t="shared" si="182"/>
        <v>483.83881613611777</v>
      </c>
      <c r="F2346" s="62" t="str">
        <f t="shared" si="183"/>
        <v/>
      </c>
    </row>
    <row r="2347" spans="1:6">
      <c r="A2347" s="60">
        <v>234200</v>
      </c>
      <c r="B2347" s="60">
        <f t="shared" si="181"/>
        <v>4839421</v>
      </c>
      <c r="C2347" s="60">
        <f t="shared" si="184"/>
        <v>4839421</v>
      </c>
      <c r="D2347" s="61">
        <f t="shared" si="180"/>
        <v>1</v>
      </c>
      <c r="E2347" s="64">
        <f t="shared" si="182"/>
        <v>483.94214530251446</v>
      </c>
      <c r="F2347" s="62" t="str">
        <f t="shared" si="183"/>
        <v/>
      </c>
    </row>
    <row r="2348" spans="1:6">
      <c r="A2348" s="60">
        <v>234300</v>
      </c>
      <c r="B2348" s="60">
        <f t="shared" si="181"/>
        <v>4840455</v>
      </c>
      <c r="C2348" s="60">
        <f t="shared" si="184"/>
        <v>4840455</v>
      </c>
      <c r="D2348" s="61">
        <f t="shared" si="180"/>
        <v>1</v>
      </c>
      <c r="E2348" s="64">
        <f t="shared" si="182"/>
        <v>484.04545241123793</v>
      </c>
      <c r="F2348" s="62" t="str">
        <f t="shared" si="183"/>
        <v/>
      </c>
    </row>
    <row r="2349" spans="1:6">
      <c r="A2349" s="60">
        <v>234400</v>
      </c>
      <c r="B2349" s="60">
        <f t="shared" si="181"/>
        <v>4841487</v>
      </c>
      <c r="C2349" s="60">
        <f t="shared" si="184"/>
        <v>4841487</v>
      </c>
      <c r="D2349" s="61">
        <f t="shared" si="180"/>
        <v>1</v>
      </c>
      <c r="E2349" s="64">
        <f t="shared" si="182"/>
        <v>484.1487374764082</v>
      </c>
      <c r="F2349" s="62" t="str">
        <f t="shared" si="183"/>
        <v/>
      </c>
    </row>
    <row r="2350" spans="1:6">
      <c r="A2350" s="60">
        <v>234500</v>
      </c>
      <c r="B2350" s="60">
        <f t="shared" si="181"/>
        <v>4842520</v>
      </c>
      <c r="C2350" s="60">
        <f t="shared" si="184"/>
        <v>4842520</v>
      </c>
      <c r="D2350" s="61">
        <f t="shared" si="180"/>
        <v>1</v>
      </c>
      <c r="E2350" s="64">
        <f t="shared" si="182"/>
        <v>484.25200051213005</v>
      </c>
      <c r="F2350" s="62" t="str">
        <f t="shared" si="183"/>
        <v/>
      </c>
    </row>
    <row r="2351" spans="1:6">
      <c r="A2351" s="60">
        <v>234600</v>
      </c>
      <c r="B2351" s="60">
        <f t="shared" si="181"/>
        <v>4843552</v>
      </c>
      <c r="C2351" s="60">
        <f t="shared" si="184"/>
        <v>4843552</v>
      </c>
      <c r="D2351" s="61">
        <f t="shared" si="180"/>
        <v>1</v>
      </c>
      <c r="E2351" s="64">
        <f t="shared" si="182"/>
        <v>484.35524153249338</v>
      </c>
      <c r="F2351" s="62" t="str">
        <f t="shared" si="183"/>
        <v/>
      </c>
    </row>
    <row r="2352" spans="1:6">
      <c r="A2352" s="60">
        <v>234700</v>
      </c>
      <c r="B2352" s="60">
        <f t="shared" si="181"/>
        <v>4844585</v>
      </c>
      <c r="C2352" s="60">
        <f t="shared" si="184"/>
        <v>4844585</v>
      </c>
      <c r="D2352" s="61">
        <f t="shared" si="180"/>
        <v>1</v>
      </c>
      <c r="E2352" s="64">
        <f t="shared" si="182"/>
        <v>484.45846055157301</v>
      </c>
      <c r="F2352" s="62" t="str">
        <f t="shared" si="183"/>
        <v/>
      </c>
    </row>
    <row r="2353" spans="1:6">
      <c r="A2353" s="60">
        <v>234800</v>
      </c>
      <c r="B2353" s="60">
        <f t="shared" si="181"/>
        <v>4845617</v>
      </c>
      <c r="C2353" s="60">
        <f t="shared" si="184"/>
        <v>4845617</v>
      </c>
      <c r="D2353" s="61">
        <f t="shared" si="180"/>
        <v>1</v>
      </c>
      <c r="E2353" s="64">
        <f t="shared" si="182"/>
        <v>484.56165758342871</v>
      </c>
      <c r="F2353" s="62" t="str">
        <f t="shared" si="183"/>
        <v/>
      </c>
    </row>
    <row r="2354" spans="1:6">
      <c r="A2354" s="60">
        <v>234900</v>
      </c>
      <c r="B2354" s="60">
        <f t="shared" si="181"/>
        <v>4846648</v>
      </c>
      <c r="C2354" s="60">
        <f t="shared" si="184"/>
        <v>4846648</v>
      </c>
      <c r="D2354" s="61">
        <f t="shared" si="180"/>
        <v>1</v>
      </c>
      <c r="E2354" s="64">
        <f t="shared" si="182"/>
        <v>484.66483264210535</v>
      </c>
      <c r="F2354" s="62" t="str">
        <f t="shared" si="183"/>
        <v/>
      </c>
    </row>
    <row r="2355" spans="1:6">
      <c r="A2355" s="60">
        <v>235000</v>
      </c>
      <c r="B2355" s="60">
        <f t="shared" si="181"/>
        <v>4847680</v>
      </c>
      <c r="C2355" s="60">
        <f t="shared" si="184"/>
        <v>4847680</v>
      </c>
      <c r="D2355" s="61">
        <f t="shared" si="180"/>
        <v>1</v>
      </c>
      <c r="E2355" s="64">
        <f t="shared" si="182"/>
        <v>484.76798574163291</v>
      </c>
      <c r="F2355" s="62" t="str">
        <f t="shared" si="183"/>
        <v/>
      </c>
    </row>
    <row r="2356" spans="1:6">
      <c r="A2356" s="60">
        <v>235100</v>
      </c>
      <c r="B2356" s="60">
        <f t="shared" si="181"/>
        <v>4848711</v>
      </c>
      <c r="C2356" s="60">
        <f t="shared" si="184"/>
        <v>4848711</v>
      </c>
      <c r="D2356" s="61">
        <f t="shared" si="180"/>
        <v>1</v>
      </c>
      <c r="E2356" s="64">
        <f t="shared" si="182"/>
        <v>484.87111689602631</v>
      </c>
      <c r="F2356" s="62" t="str">
        <f t="shared" si="183"/>
        <v/>
      </c>
    </row>
    <row r="2357" spans="1:6">
      <c r="A2357" s="60">
        <v>235200</v>
      </c>
      <c r="B2357" s="60">
        <f t="shared" si="181"/>
        <v>4849742</v>
      </c>
      <c r="C2357" s="60">
        <f t="shared" si="184"/>
        <v>4849742</v>
      </c>
      <c r="D2357" s="61">
        <f t="shared" si="180"/>
        <v>1</v>
      </c>
      <c r="E2357" s="64">
        <f t="shared" si="182"/>
        <v>484.97422611928562</v>
      </c>
      <c r="F2357" s="62" t="str">
        <f t="shared" si="183"/>
        <v/>
      </c>
    </row>
    <row r="2358" spans="1:6">
      <c r="A2358" s="60">
        <v>235300</v>
      </c>
      <c r="B2358" s="60">
        <f t="shared" si="181"/>
        <v>4850773</v>
      </c>
      <c r="C2358" s="60">
        <f t="shared" si="184"/>
        <v>4850773</v>
      </c>
      <c r="D2358" s="61">
        <f t="shared" si="180"/>
        <v>1</v>
      </c>
      <c r="E2358" s="64">
        <f t="shared" si="182"/>
        <v>485.07731342539614</v>
      </c>
      <c r="F2358" s="62" t="str">
        <f t="shared" si="183"/>
        <v/>
      </c>
    </row>
    <row r="2359" spans="1:6">
      <c r="A2359" s="60">
        <v>235400</v>
      </c>
      <c r="B2359" s="60">
        <f t="shared" si="181"/>
        <v>4851804</v>
      </c>
      <c r="C2359" s="60">
        <f t="shared" si="184"/>
        <v>4851804</v>
      </c>
      <c r="D2359" s="61">
        <f t="shared" si="180"/>
        <v>1</v>
      </c>
      <c r="E2359" s="64">
        <f t="shared" si="182"/>
        <v>485.18037882832812</v>
      </c>
      <c r="F2359" s="62" t="str">
        <f t="shared" si="183"/>
        <v/>
      </c>
    </row>
    <row r="2360" spans="1:6">
      <c r="A2360" s="60">
        <v>235500</v>
      </c>
      <c r="B2360" s="60">
        <f t="shared" si="181"/>
        <v>4852834</v>
      </c>
      <c r="C2360" s="60">
        <f t="shared" si="184"/>
        <v>4852834</v>
      </c>
      <c r="D2360" s="61">
        <f t="shared" si="180"/>
        <v>1</v>
      </c>
      <c r="E2360" s="64">
        <f t="shared" si="182"/>
        <v>485.28342234203717</v>
      </c>
      <c r="F2360" s="62" t="str">
        <f t="shared" si="183"/>
        <v/>
      </c>
    </row>
    <row r="2361" spans="1:6">
      <c r="A2361" s="60">
        <v>235600</v>
      </c>
      <c r="B2361" s="60">
        <f t="shared" si="181"/>
        <v>4853864</v>
      </c>
      <c r="C2361" s="60">
        <f t="shared" si="184"/>
        <v>4853864</v>
      </c>
      <c r="D2361" s="61">
        <f t="shared" si="180"/>
        <v>1</v>
      </c>
      <c r="E2361" s="64">
        <f t="shared" si="182"/>
        <v>485.38644398046387</v>
      </c>
      <c r="F2361" s="62" t="str">
        <f t="shared" si="183"/>
        <v/>
      </c>
    </row>
    <row r="2362" spans="1:6">
      <c r="A2362" s="60">
        <v>235700</v>
      </c>
      <c r="B2362" s="60">
        <f t="shared" si="181"/>
        <v>4854894</v>
      </c>
      <c r="C2362" s="60">
        <f t="shared" si="184"/>
        <v>4854894</v>
      </c>
      <c r="D2362" s="61">
        <f t="shared" si="180"/>
        <v>1</v>
      </c>
      <c r="E2362" s="64">
        <f t="shared" si="182"/>
        <v>485.48944375753422</v>
      </c>
      <c r="F2362" s="62" t="str">
        <f t="shared" si="183"/>
        <v/>
      </c>
    </row>
    <row r="2363" spans="1:6">
      <c r="A2363" s="60">
        <v>235800</v>
      </c>
      <c r="B2363" s="60">
        <f t="shared" si="181"/>
        <v>4855924</v>
      </c>
      <c r="C2363" s="60">
        <f t="shared" si="184"/>
        <v>4855924</v>
      </c>
      <c r="D2363" s="61">
        <f t="shared" si="180"/>
        <v>1</v>
      </c>
      <c r="E2363" s="64">
        <f t="shared" si="182"/>
        <v>485.59242168715934</v>
      </c>
      <c r="F2363" s="62" t="str">
        <f t="shared" si="183"/>
        <v/>
      </c>
    </row>
    <row r="2364" spans="1:6">
      <c r="A2364" s="60">
        <v>235900</v>
      </c>
      <c r="B2364" s="60">
        <f t="shared" si="181"/>
        <v>4856954</v>
      </c>
      <c r="C2364" s="60">
        <f t="shared" si="184"/>
        <v>4856954</v>
      </c>
      <c r="D2364" s="61">
        <f t="shared" si="180"/>
        <v>1</v>
      </c>
      <c r="E2364" s="64">
        <f t="shared" si="182"/>
        <v>485.69537778323564</v>
      </c>
      <c r="F2364" s="62" t="str">
        <f t="shared" si="183"/>
        <v/>
      </c>
    </row>
    <row r="2365" spans="1:6">
      <c r="A2365" s="60">
        <v>236000</v>
      </c>
      <c r="B2365" s="60">
        <f t="shared" si="181"/>
        <v>4857983</v>
      </c>
      <c r="C2365" s="60">
        <f t="shared" si="184"/>
        <v>4857983</v>
      </c>
      <c r="D2365" s="61">
        <f t="shared" si="180"/>
        <v>1</v>
      </c>
      <c r="E2365" s="64">
        <f t="shared" si="182"/>
        <v>485.79831205964479</v>
      </c>
      <c r="F2365" s="62" t="str">
        <f t="shared" si="183"/>
        <v/>
      </c>
    </row>
    <row r="2366" spans="1:6">
      <c r="A2366" s="60">
        <v>236100</v>
      </c>
      <c r="B2366" s="60">
        <f t="shared" si="181"/>
        <v>4859012</v>
      </c>
      <c r="C2366" s="60">
        <f t="shared" si="184"/>
        <v>4859012</v>
      </c>
      <c r="D2366" s="61">
        <f t="shared" si="180"/>
        <v>1</v>
      </c>
      <c r="E2366" s="64">
        <f t="shared" si="182"/>
        <v>485.90122453025367</v>
      </c>
      <c r="F2366" s="62" t="str">
        <f t="shared" si="183"/>
        <v/>
      </c>
    </row>
    <row r="2367" spans="1:6">
      <c r="A2367" s="60">
        <v>236200</v>
      </c>
      <c r="B2367" s="60">
        <f t="shared" si="181"/>
        <v>4860041</v>
      </c>
      <c r="C2367" s="60">
        <f t="shared" si="184"/>
        <v>4860041</v>
      </c>
      <c r="D2367" s="61">
        <f t="shared" si="180"/>
        <v>1</v>
      </c>
      <c r="E2367" s="64">
        <f t="shared" si="182"/>
        <v>486.00411520891464</v>
      </c>
      <c r="F2367" s="62" t="str">
        <f t="shared" si="183"/>
        <v/>
      </c>
    </row>
    <row r="2368" spans="1:6">
      <c r="A2368" s="60">
        <v>236300</v>
      </c>
      <c r="B2368" s="60">
        <f t="shared" si="181"/>
        <v>4861070</v>
      </c>
      <c r="C2368" s="60">
        <f t="shared" si="184"/>
        <v>4861070</v>
      </c>
      <c r="D2368" s="61">
        <f t="shared" si="180"/>
        <v>1</v>
      </c>
      <c r="E2368" s="64">
        <f t="shared" si="182"/>
        <v>486.10698410946537</v>
      </c>
      <c r="F2368" s="62" t="str">
        <f t="shared" si="183"/>
        <v/>
      </c>
    </row>
    <row r="2369" spans="1:6">
      <c r="A2369" s="60">
        <v>236400</v>
      </c>
      <c r="B2369" s="60">
        <f t="shared" si="181"/>
        <v>4862098</v>
      </c>
      <c r="C2369" s="60">
        <f t="shared" si="184"/>
        <v>4862098</v>
      </c>
      <c r="D2369" s="61">
        <f t="shared" si="180"/>
        <v>1</v>
      </c>
      <c r="E2369" s="64">
        <f t="shared" si="182"/>
        <v>486.20983124572871</v>
      </c>
      <c r="F2369" s="62" t="str">
        <f t="shared" si="183"/>
        <v/>
      </c>
    </row>
    <row r="2370" spans="1:6">
      <c r="A2370" s="60">
        <v>236500</v>
      </c>
      <c r="B2370" s="60">
        <f t="shared" si="181"/>
        <v>4863127</v>
      </c>
      <c r="C2370" s="60">
        <f t="shared" si="184"/>
        <v>4863127</v>
      </c>
      <c r="D2370" s="61">
        <f t="shared" si="180"/>
        <v>1</v>
      </c>
      <c r="E2370" s="64">
        <f t="shared" si="182"/>
        <v>486.31265663151316</v>
      </c>
      <c r="F2370" s="62" t="str">
        <f t="shared" si="183"/>
        <v/>
      </c>
    </row>
    <row r="2371" spans="1:6">
      <c r="A2371" s="60">
        <v>236600</v>
      </c>
      <c r="B2371" s="60">
        <f t="shared" si="181"/>
        <v>4864155</v>
      </c>
      <c r="C2371" s="60">
        <f t="shared" si="184"/>
        <v>4864155</v>
      </c>
      <c r="D2371" s="61">
        <f t="shared" si="180"/>
        <v>1</v>
      </c>
      <c r="E2371" s="64">
        <f t="shared" si="182"/>
        <v>486.41546028061236</v>
      </c>
      <c r="F2371" s="62" t="str">
        <f t="shared" si="183"/>
        <v/>
      </c>
    </row>
    <row r="2372" spans="1:6">
      <c r="A2372" s="60">
        <v>236700</v>
      </c>
      <c r="B2372" s="60">
        <f t="shared" si="181"/>
        <v>4865182</v>
      </c>
      <c r="C2372" s="60">
        <f t="shared" si="184"/>
        <v>4865182</v>
      </c>
      <c r="D2372" s="61">
        <f t="shared" si="180"/>
        <v>1</v>
      </c>
      <c r="E2372" s="64">
        <f t="shared" si="182"/>
        <v>486.51824220680567</v>
      </c>
      <c r="F2372" s="62" t="str">
        <f t="shared" si="183"/>
        <v/>
      </c>
    </row>
    <row r="2373" spans="1:6">
      <c r="A2373" s="60">
        <v>236800</v>
      </c>
      <c r="B2373" s="60">
        <f t="shared" si="181"/>
        <v>4866210</v>
      </c>
      <c r="C2373" s="60">
        <f t="shared" si="184"/>
        <v>4866210</v>
      </c>
      <c r="D2373" s="61">
        <f t="shared" ref="D2373:D2436" si="185">(A2373-INDEX(兵力区间,MATCH(A2373,兵力区间,1)))/(INDEX(兵力区间,MATCH(A2373,兵力区间,1)+1)-INDEX(兵力区间,MATCH(A2373,兵力区间,1)))*((INDEX(兵力调节,MATCH(A2373,兵力区间,1)+1,2)-INDEX(兵力调节,MATCH(A2373,兵力区间,1),2)))+INDEX(兵力调节,MATCH(A2373,兵力区间,1),2)</f>
        <v>1</v>
      </c>
      <c r="E2373" s="64">
        <f t="shared" si="182"/>
        <v>486.62100242385759</v>
      </c>
      <c r="F2373" s="62" t="str">
        <f t="shared" si="183"/>
        <v/>
      </c>
    </row>
    <row r="2374" spans="1:6">
      <c r="A2374" s="60">
        <v>236900</v>
      </c>
      <c r="B2374" s="60">
        <f t="shared" si="181"/>
        <v>4867237</v>
      </c>
      <c r="C2374" s="60">
        <f t="shared" si="184"/>
        <v>4867237</v>
      </c>
      <c r="D2374" s="61">
        <f t="shared" si="185"/>
        <v>1</v>
      </c>
      <c r="E2374" s="64">
        <f t="shared" si="182"/>
        <v>486.72374094551827</v>
      </c>
      <c r="F2374" s="62" t="str">
        <f t="shared" si="183"/>
        <v/>
      </c>
    </row>
    <row r="2375" spans="1:6">
      <c r="A2375" s="60">
        <v>237000</v>
      </c>
      <c r="B2375" s="60">
        <f t="shared" ref="B2375:B2438" si="186">ROUND(D2375*E2375*10000,0)</f>
        <v>4868265</v>
      </c>
      <c r="C2375" s="60">
        <f t="shared" si="184"/>
        <v>4868265</v>
      </c>
      <c r="D2375" s="61">
        <f t="shared" si="185"/>
        <v>1</v>
      </c>
      <c r="E2375" s="64">
        <f t="shared" ref="E2375:E2438" si="187">A2375^0.5</f>
        <v>486.82645778552342</v>
      </c>
      <c r="F2375" s="62" t="str">
        <f t="shared" si="183"/>
        <v/>
      </c>
    </row>
    <row r="2376" spans="1:6">
      <c r="A2376" s="60">
        <v>237100</v>
      </c>
      <c r="B2376" s="60">
        <f t="shared" si="186"/>
        <v>4869292</v>
      </c>
      <c r="C2376" s="60">
        <f t="shared" si="184"/>
        <v>4869292</v>
      </c>
      <c r="D2376" s="61">
        <f t="shared" si="185"/>
        <v>1</v>
      </c>
      <c r="E2376" s="64">
        <f t="shared" si="187"/>
        <v>486.929152957594</v>
      </c>
      <c r="F2376" s="62" t="str">
        <f t="shared" ref="F2376:F2439" si="188">IF(B2376&lt;B2375,1,"")</f>
        <v/>
      </c>
    </row>
    <row r="2377" spans="1:6">
      <c r="A2377" s="60">
        <v>237200</v>
      </c>
      <c r="B2377" s="60">
        <f t="shared" si="186"/>
        <v>4870318</v>
      </c>
      <c r="C2377" s="60">
        <f t="shared" si="184"/>
        <v>4870318</v>
      </c>
      <c r="D2377" s="61">
        <f t="shared" si="185"/>
        <v>1</v>
      </c>
      <c r="E2377" s="64">
        <f t="shared" si="187"/>
        <v>487.03182647543684</v>
      </c>
      <c r="F2377" s="62" t="str">
        <f t="shared" si="188"/>
        <v/>
      </c>
    </row>
    <row r="2378" spans="1:6">
      <c r="A2378" s="60">
        <v>237300</v>
      </c>
      <c r="B2378" s="60">
        <f t="shared" si="186"/>
        <v>4871345</v>
      </c>
      <c r="C2378" s="60">
        <f t="shared" si="184"/>
        <v>4871345</v>
      </c>
      <c r="D2378" s="61">
        <f t="shared" si="185"/>
        <v>1</v>
      </c>
      <c r="E2378" s="64">
        <f t="shared" si="187"/>
        <v>487.134478352744</v>
      </c>
      <c r="F2378" s="62" t="str">
        <f t="shared" si="188"/>
        <v/>
      </c>
    </row>
    <row r="2379" spans="1:6">
      <c r="A2379" s="60">
        <v>237400</v>
      </c>
      <c r="B2379" s="60">
        <f t="shared" si="186"/>
        <v>4872371</v>
      </c>
      <c r="C2379" s="60">
        <f t="shared" ref="C2379:C2442" si="189">ROUND(D2379*E2379*10000,0)</f>
        <v>4872371</v>
      </c>
      <c r="D2379" s="61">
        <f t="shared" si="185"/>
        <v>1</v>
      </c>
      <c r="E2379" s="64">
        <f t="shared" si="187"/>
        <v>487.23710860319329</v>
      </c>
      <c r="F2379" s="62" t="str">
        <f t="shared" si="188"/>
        <v/>
      </c>
    </row>
    <row r="2380" spans="1:6">
      <c r="A2380" s="60">
        <v>237500</v>
      </c>
      <c r="B2380" s="60">
        <f t="shared" si="186"/>
        <v>4873397</v>
      </c>
      <c r="C2380" s="60">
        <f t="shared" si="189"/>
        <v>4873397</v>
      </c>
      <c r="D2380" s="61">
        <f t="shared" si="185"/>
        <v>1</v>
      </c>
      <c r="E2380" s="64">
        <f t="shared" si="187"/>
        <v>487.33971724044818</v>
      </c>
      <c r="F2380" s="62" t="str">
        <f t="shared" si="188"/>
        <v/>
      </c>
    </row>
    <row r="2381" spans="1:6">
      <c r="A2381" s="60">
        <v>237600</v>
      </c>
      <c r="B2381" s="60">
        <f t="shared" si="186"/>
        <v>4874423</v>
      </c>
      <c r="C2381" s="60">
        <f t="shared" si="189"/>
        <v>4874423</v>
      </c>
      <c r="D2381" s="61">
        <f t="shared" si="185"/>
        <v>1</v>
      </c>
      <c r="E2381" s="64">
        <f t="shared" si="187"/>
        <v>487.44230427815762</v>
      </c>
      <c r="F2381" s="62" t="str">
        <f t="shared" si="188"/>
        <v/>
      </c>
    </row>
    <row r="2382" spans="1:6">
      <c r="A2382" s="60">
        <v>237700</v>
      </c>
      <c r="B2382" s="60">
        <f t="shared" si="186"/>
        <v>4875449</v>
      </c>
      <c r="C2382" s="60">
        <f t="shared" si="189"/>
        <v>4875449</v>
      </c>
      <c r="D2382" s="61">
        <f t="shared" si="185"/>
        <v>1</v>
      </c>
      <c r="E2382" s="64">
        <f t="shared" si="187"/>
        <v>487.54486972995625</v>
      </c>
      <c r="F2382" s="62" t="str">
        <f t="shared" si="188"/>
        <v/>
      </c>
    </row>
    <row r="2383" spans="1:6">
      <c r="A2383" s="60">
        <v>237800</v>
      </c>
      <c r="B2383" s="60">
        <f t="shared" si="186"/>
        <v>4876474</v>
      </c>
      <c r="C2383" s="60">
        <f t="shared" si="189"/>
        <v>4876474</v>
      </c>
      <c r="D2383" s="61">
        <f t="shared" si="185"/>
        <v>1</v>
      </c>
      <c r="E2383" s="64">
        <f t="shared" si="187"/>
        <v>487.64741360946437</v>
      </c>
      <c r="F2383" s="62" t="str">
        <f t="shared" si="188"/>
        <v/>
      </c>
    </row>
    <row r="2384" spans="1:6">
      <c r="A2384" s="60">
        <v>237900</v>
      </c>
      <c r="B2384" s="60">
        <f t="shared" si="186"/>
        <v>4877499</v>
      </c>
      <c r="C2384" s="60">
        <f t="shared" si="189"/>
        <v>4877499</v>
      </c>
      <c r="D2384" s="61">
        <f t="shared" si="185"/>
        <v>1</v>
      </c>
      <c r="E2384" s="64">
        <f t="shared" si="187"/>
        <v>487.74993593028796</v>
      </c>
      <c r="F2384" s="62" t="str">
        <f t="shared" si="188"/>
        <v/>
      </c>
    </row>
    <row r="2385" spans="1:6">
      <c r="A2385" s="60">
        <v>238000</v>
      </c>
      <c r="B2385" s="60">
        <f t="shared" si="186"/>
        <v>4878524</v>
      </c>
      <c r="C2385" s="60">
        <f t="shared" si="189"/>
        <v>4878524</v>
      </c>
      <c r="D2385" s="61">
        <f t="shared" si="185"/>
        <v>1</v>
      </c>
      <c r="E2385" s="64">
        <f t="shared" si="187"/>
        <v>487.85243670601869</v>
      </c>
      <c r="F2385" s="62" t="str">
        <f t="shared" si="188"/>
        <v/>
      </c>
    </row>
    <row r="2386" spans="1:6">
      <c r="A2386" s="60">
        <v>238100</v>
      </c>
      <c r="B2386" s="60">
        <f t="shared" si="186"/>
        <v>4879549</v>
      </c>
      <c r="C2386" s="60">
        <f t="shared" si="189"/>
        <v>4879549</v>
      </c>
      <c r="D2386" s="61">
        <f t="shared" si="185"/>
        <v>1</v>
      </c>
      <c r="E2386" s="64">
        <f t="shared" si="187"/>
        <v>487.95491595023407</v>
      </c>
      <c r="F2386" s="62" t="str">
        <f t="shared" si="188"/>
        <v/>
      </c>
    </row>
    <row r="2387" spans="1:6">
      <c r="A2387" s="60">
        <v>238200</v>
      </c>
      <c r="B2387" s="60">
        <f t="shared" si="186"/>
        <v>4880574</v>
      </c>
      <c r="C2387" s="60">
        <f t="shared" si="189"/>
        <v>4880574</v>
      </c>
      <c r="D2387" s="61">
        <f t="shared" si="185"/>
        <v>1</v>
      </c>
      <c r="E2387" s="64">
        <f t="shared" si="187"/>
        <v>488.05737367649715</v>
      </c>
      <c r="F2387" s="62" t="str">
        <f t="shared" si="188"/>
        <v/>
      </c>
    </row>
    <row r="2388" spans="1:6">
      <c r="A2388" s="60">
        <v>238300</v>
      </c>
      <c r="B2388" s="60">
        <f t="shared" si="186"/>
        <v>4881598</v>
      </c>
      <c r="C2388" s="60">
        <f t="shared" si="189"/>
        <v>4881598</v>
      </c>
      <c r="D2388" s="61">
        <f t="shared" si="185"/>
        <v>1</v>
      </c>
      <c r="E2388" s="64">
        <f t="shared" si="187"/>
        <v>488.15980989835697</v>
      </c>
      <c r="F2388" s="62" t="str">
        <f t="shared" si="188"/>
        <v/>
      </c>
    </row>
    <row r="2389" spans="1:6">
      <c r="A2389" s="60">
        <v>238400</v>
      </c>
      <c r="B2389" s="60">
        <f t="shared" si="186"/>
        <v>4882622</v>
      </c>
      <c r="C2389" s="60">
        <f t="shared" si="189"/>
        <v>4882622</v>
      </c>
      <c r="D2389" s="61">
        <f t="shared" si="185"/>
        <v>1</v>
      </c>
      <c r="E2389" s="64">
        <f t="shared" si="187"/>
        <v>488.26222462934811</v>
      </c>
      <c r="F2389" s="62" t="str">
        <f t="shared" si="188"/>
        <v/>
      </c>
    </row>
    <row r="2390" spans="1:6">
      <c r="A2390" s="60">
        <v>238500</v>
      </c>
      <c r="B2390" s="60">
        <f t="shared" si="186"/>
        <v>4883646</v>
      </c>
      <c r="C2390" s="60">
        <f t="shared" si="189"/>
        <v>4883646</v>
      </c>
      <c r="D2390" s="61">
        <f t="shared" si="185"/>
        <v>1</v>
      </c>
      <c r="E2390" s="64">
        <f t="shared" si="187"/>
        <v>488.36461788299118</v>
      </c>
      <c r="F2390" s="62" t="str">
        <f t="shared" si="188"/>
        <v/>
      </c>
    </row>
    <row r="2391" spans="1:6">
      <c r="A2391" s="60">
        <v>238600</v>
      </c>
      <c r="B2391" s="60">
        <f t="shared" si="186"/>
        <v>4884670</v>
      </c>
      <c r="C2391" s="60">
        <f t="shared" si="189"/>
        <v>4884670</v>
      </c>
      <c r="D2391" s="61">
        <f t="shared" si="185"/>
        <v>1</v>
      </c>
      <c r="E2391" s="64">
        <f t="shared" si="187"/>
        <v>488.46698967279252</v>
      </c>
      <c r="F2391" s="62" t="str">
        <f t="shared" si="188"/>
        <v/>
      </c>
    </row>
    <row r="2392" spans="1:6">
      <c r="A2392" s="60">
        <v>238700</v>
      </c>
      <c r="B2392" s="60">
        <f t="shared" si="186"/>
        <v>4885693</v>
      </c>
      <c r="C2392" s="60">
        <f t="shared" si="189"/>
        <v>4885693</v>
      </c>
      <c r="D2392" s="61">
        <f t="shared" si="185"/>
        <v>1</v>
      </c>
      <c r="E2392" s="64">
        <f t="shared" si="187"/>
        <v>488.56934001224431</v>
      </c>
      <c r="F2392" s="62" t="str">
        <f t="shared" si="188"/>
        <v/>
      </c>
    </row>
    <row r="2393" spans="1:6">
      <c r="A2393" s="60">
        <v>238800</v>
      </c>
      <c r="B2393" s="60">
        <f t="shared" si="186"/>
        <v>4886717</v>
      </c>
      <c r="C2393" s="60">
        <f t="shared" si="189"/>
        <v>4886717</v>
      </c>
      <c r="D2393" s="61">
        <f t="shared" si="185"/>
        <v>1</v>
      </c>
      <c r="E2393" s="64">
        <f t="shared" si="187"/>
        <v>488.67166891482464</v>
      </c>
      <c r="F2393" s="62" t="str">
        <f t="shared" si="188"/>
        <v/>
      </c>
    </row>
    <row r="2394" spans="1:6">
      <c r="A2394" s="60">
        <v>238900</v>
      </c>
      <c r="B2394" s="60">
        <f t="shared" si="186"/>
        <v>4887740</v>
      </c>
      <c r="C2394" s="60">
        <f t="shared" si="189"/>
        <v>4887740</v>
      </c>
      <c r="D2394" s="61">
        <f t="shared" si="185"/>
        <v>1</v>
      </c>
      <c r="E2394" s="64">
        <f t="shared" si="187"/>
        <v>488.77397639399749</v>
      </c>
      <c r="F2394" s="62" t="str">
        <f t="shared" si="188"/>
        <v/>
      </c>
    </row>
    <row r="2395" spans="1:6">
      <c r="A2395" s="60">
        <v>239000</v>
      </c>
      <c r="B2395" s="60">
        <f t="shared" si="186"/>
        <v>4888763</v>
      </c>
      <c r="C2395" s="60">
        <f t="shared" si="189"/>
        <v>4888763</v>
      </c>
      <c r="D2395" s="61">
        <f t="shared" si="185"/>
        <v>1</v>
      </c>
      <c r="E2395" s="64">
        <f t="shared" si="187"/>
        <v>488.87626246321264</v>
      </c>
      <c r="F2395" s="62" t="str">
        <f t="shared" si="188"/>
        <v/>
      </c>
    </row>
    <row r="2396" spans="1:6">
      <c r="A2396" s="60">
        <v>239100</v>
      </c>
      <c r="B2396" s="60">
        <f t="shared" si="186"/>
        <v>4889785</v>
      </c>
      <c r="C2396" s="60">
        <f t="shared" si="189"/>
        <v>4889785</v>
      </c>
      <c r="D2396" s="61">
        <f t="shared" si="185"/>
        <v>1</v>
      </c>
      <c r="E2396" s="64">
        <f t="shared" si="187"/>
        <v>488.97852713590606</v>
      </c>
      <c r="F2396" s="62" t="str">
        <f t="shared" si="188"/>
        <v/>
      </c>
    </row>
    <row r="2397" spans="1:6">
      <c r="A2397" s="60">
        <v>239200</v>
      </c>
      <c r="B2397" s="60">
        <f t="shared" si="186"/>
        <v>4890808</v>
      </c>
      <c r="C2397" s="60">
        <f t="shared" si="189"/>
        <v>4890808</v>
      </c>
      <c r="D2397" s="61">
        <f t="shared" si="185"/>
        <v>1</v>
      </c>
      <c r="E2397" s="64">
        <f t="shared" si="187"/>
        <v>489.08077042549934</v>
      </c>
      <c r="F2397" s="62" t="str">
        <f t="shared" si="188"/>
        <v/>
      </c>
    </row>
    <row r="2398" spans="1:6">
      <c r="A2398" s="60">
        <v>239300</v>
      </c>
      <c r="B2398" s="60">
        <f t="shared" si="186"/>
        <v>4891830</v>
      </c>
      <c r="C2398" s="60">
        <f t="shared" si="189"/>
        <v>4891830</v>
      </c>
      <c r="D2398" s="61">
        <f t="shared" si="185"/>
        <v>1</v>
      </c>
      <c r="E2398" s="64">
        <f t="shared" si="187"/>
        <v>489.18299234540035</v>
      </c>
      <c r="F2398" s="62" t="str">
        <f t="shared" si="188"/>
        <v/>
      </c>
    </row>
    <row r="2399" spans="1:6">
      <c r="A2399" s="60">
        <v>239400</v>
      </c>
      <c r="B2399" s="60">
        <f t="shared" si="186"/>
        <v>4892852</v>
      </c>
      <c r="C2399" s="60">
        <f t="shared" si="189"/>
        <v>4892852</v>
      </c>
      <c r="D2399" s="61">
        <f t="shared" si="185"/>
        <v>1</v>
      </c>
      <c r="E2399" s="64">
        <f t="shared" si="187"/>
        <v>489.28519290900272</v>
      </c>
      <c r="F2399" s="62" t="str">
        <f t="shared" si="188"/>
        <v/>
      </c>
    </row>
    <row r="2400" spans="1:6">
      <c r="A2400" s="60">
        <v>239500</v>
      </c>
      <c r="B2400" s="60">
        <f t="shared" si="186"/>
        <v>4893874</v>
      </c>
      <c r="C2400" s="60">
        <f t="shared" si="189"/>
        <v>4893874</v>
      </c>
      <c r="D2400" s="61">
        <f t="shared" si="185"/>
        <v>1</v>
      </c>
      <c r="E2400" s="64">
        <f t="shared" si="187"/>
        <v>489.38737212968624</v>
      </c>
      <c r="F2400" s="62" t="str">
        <f t="shared" si="188"/>
        <v/>
      </c>
    </row>
    <row r="2401" spans="1:6">
      <c r="A2401" s="60">
        <v>239600</v>
      </c>
      <c r="B2401" s="60">
        <f t="shared" si="186"/>
        <v>4894895</v>
      </c>
      <c r="C2401" s="60">
        <f t="shared" si="189"/>
        <v>4894895</v>
      </c>
      <c r="D2401" s="61">
        <f t="shared" si="185"/>
        <v>1</v>
      </c>
      <c r="E2401" s="64">
        <f t="shared" si="187"/>
        <v>489.48953002081669</v>
      </c>
      <c r="F2401" s="62" t="str">
        <f t="shared" si="188"/>
        <v/>
      </c>
    </row>
    <row r="2402" spans="1:6">
      <c r="A2402" s="60">
        <v>239700</v>
      </c>
      <c r="B2402" s="60">
        <f t="shared" si="186"/>
        <v>4895917</v>
      </c>
      <c r="C2402" s="60">
        <f t="shared" si="189"/>
        <v>4895917</v>
      </c>
      <c r="D2402" s="61">
        <f t="shared" si="185"/>
        <v>1</v>
      </c>
      <c r="E2402" s="64">
        <f t="shared" si="187"/>
        <v>489.59166659574589</v>
      </c>
      <c r="F2402" s="62" t="str">
        <f t="shared" si="188"/>
        <v/>
      </c>
    </row>
    <row r="2403" spans="1:6">
      <c r="A2403" s="60">
        <v>239800</v>
      </c>
      <c r="B2403" s="60">
        <f t="shared" si="186"/>
        <v>4896938</v>
      </c>
      <c r="C2403" s="60">
        <f t="shared" si="189"/>
        <v>4896938</v>
      </c>
      <c r="D2403" s="61">
        <f t="shared" si="185"/>
        <v>1</v>
      </c>
      <c r="E2403" s="64">
        <f t="shared" si="187"/>
        <v>489.69378186781177</v>
      </c>
      <c r="F2403" s="62" t="str">
        <f t="shared" si="188"/>
        <v/>
      </c>
    </row>
    <row r="2404" spans="1:6">
      <c r="A2404" s="60">
        <v>239900</v>
      </c>
      <c r="B2404" s="60">
        <f t="shared" si="186"/>
        <v>4897959</v>
      </c>
      <c r="C2404" s="60">
        <f t="shared" si="189"/>
        <v>4897959</v>
      </c>
      <c r="D2404" s="61">
        <f t="shared" si="185"/>
        <v>1</v>
      </c>
      <c r="E2404" s="64">
        <f t="shared" si="187"/>
        <v>489.79587585033829</v>
      </c>
      <c r="F2404" s="62" t="str">
        <f t="shared" si="188"/>
        <v/>
      </c>
    </row>
    <row r="2405" spans="1:6">
      <c r="A2405" s="60">
        <v>240000</v>
      </c>
      <c r="B2405" s="60">
        <f t="shared" si="186"/>
        <v>4898979</v>
      </c>
      <c r="C2405" s="60">
        <f t="shared" si="189"/>
        <v>4898979</v>
      </c>
      <c r="D2405" s="61">
        <f t="shared" si="185"/>
        <v>1</v>
      </c>
      <c r="E2405" s="64">
        <f t="shared" si="187"/>
        <v>489.89794855663564</v>
      </c>
      <c r="F2405" s="62" t="str">
        <f t="shared" si="188"/>
        <v/>
      </c>
    </row>
    <row r="2406" spans="1:6">
      <c r="A2406" s="60">
        <v>240100</v>
      </c>
      <c r="B2406" s="60">
        <f t="shared" si="186"/>
        <v>4900000</v>
      </c>
      <c r="C2406" s="60">
        <f t="shared" si="189"/>
        <v>4900000</v>
      </c>
      <c r="D2406" s="61">
        <f t="shared" si="185"/>
        <v>1</v>
      </c>
      <c r="E2406" s="64">
        <f t="shared" si="187"/>
        <v>490</v>
      </c>
      <c r="F2406" s="62" t="str">
        <f t="shared" si="188"/>
        <v/>
      </c>
    </row>
    <row r="2407" spans="1:6">
      <c r="A2407" s="60">
        <v>240200</v>
      </c>
      <c r="B2407" s="60">
        <f t="shared" si="186"/>
        <v>4901020</v>
      </c>
      <c r="C2407" s="60">
        <f t="shared" si="189"/>
        <v>4901020</v>
      </c>
      <c r="D2407" s="61">
        <f t="shared" si="185"/>
        <v>1</v>
      </c>
      <c r="E2407" s="64">
        <f t="shared" si="187"/>
        <v>490.10203019371386</v>
      </c>
      <c r="F2407" s="62" t="str">
        <f t="shared" si="188"/>
        <v/>
      </c>
    </row>
    <row r="2408" spans="1:6">
      <c r="A2408" s="60">
        <v>240300</v>
      </c>
      <c r="B2408" s="60">
        <f t="shared" si="186"/>
        <v>4902040</v>
      </c>
      <c r="C2408" s="60">
        <f t="shared" si="189"/>
        <v>4902040</v>
      </c>
      <c r="D2408" s="61">
        <f t="shared" si="185"/>
        <v>1</v>
      </c>
      <c r="E2408" s="64">
        <f t="shared" si="187"/>
        <v>490.20403915104578</v>
      </c>
      <c r="F2408" s="62" t="str">
        <f t="shared" si="188"/>
        <v/>
      </c>
    </row>
    <row r="2409" spans="1:6">
      <c r="A2409" s="60">
        <v>240400</v>
      </c>
      <c r="B2409" s="60">
        <f t="shared" si="186"/>
        <v>4903060</v>
      </c>
      <c r="C2409" s="60">
        <f t="shared" si="189"/>
        <v>4903060</v>
      </c>
      <c r="D2409" s="61">
        <f t="shared" si="185"/>
        <v>1</v>
      </c>
      <c r="E2409" s="64">
        <f t="shared" si="187"/>
        <v>490.3060268852505</v>
      </c>
      <c r="F2409" s="62" t="str">
        <f t="shared" si="188"/>
        <v/>
      </c>
    </row>
    <row r="2410" spans="1:6">
      <c r="A2410" s="60">
        <v>240500</v>
      </c>
      <c r="B2410" s="60">
        <f t="shared" si="186"/>
        <v>4904080</v>
      </c>
      <c r="C2410" s="60">
        <f t="shared" si="189"/>
        <v>4904080</v>
      </c>
      <c r="D2410" s="61">
        <f t="shared" si="185"/>
        <v>1</v>
      </c>
      <c r="E2410" s="64">
        <f t="shared" si="187"/>
        <v>490.40799340956914</v>
      </c>
      <c r="F2410" s="62" t="str">
        <f t="shared" si="188"/>
        <v/>
      </c>
    </row>
    <row r="2411" spans="1:6">
      <c r="A2411" s="60">
        <v>240600</v>
      </c>
      <c r="B2411" s="60">
        <f t="shared" si="186"/>
        <v>4905099</v>
      </c>
      <c r="C2411" s="60">
        <f t="shared" si="189"/>
        <v>4905099</v>
      </c>
      <c r="D2411" s="61">
        <f t="shared" si="185"/>
        <v>1</v>
      </c>
      <c r="E2411" s="64">
        <f t="shared" si="187"/>
        <v>490.50993873722888</v>
      </c>
      <c r="F2411" s="62" t="str">
        <f t="shared" si="188"/>
        <v/>
      </c>
    </row>
    <row r="2412" spans="1:6">
      <c r="A2412" s="60">
        <v>240700</v>
      </c>
      <c r="B2412" s="60">
        <f t="shared" si="186"/>
        <v>4906119</v>
      </c>
      <c r="C2412" s="60">
        <f t="shared" si="189"/>
        <v>4906119</v>
      </c>
      <c r="D2412" s="61">
        <f t="shared" si="185"/>
        <v>1</v>
      </c>
      <c r="E2412" s="64">
        <f t="shared" si="187"/>
        <v>490.61186288144319</v>
      </c>
      <c r="F2412" s="62" t="str">
        <f t="shared" si="188"/>
        <v/>
      </c>
    </row>
    <row r="2413" spans="1:6">
      <c r="A2413" s="60">
        <v>240800</v>
      </c>
      <c r="B2413" s="60">
        <f t="shared" si="186"/>
        <v>4907138</v>
      </c>
      <c r="C2413" s="60">
        <f t="shared" si="189"/>
        <v>4907138</v>
      </c>
      <c r="D2413" s="61">
        <f t="shared" si="185"/>
        <v>1</v>
      </c>
      <c r="E2413" s="64">
        <f t="shared" si="187"/>
        <v>490.71376585541191</v>
      </c>
      <c r="F2413" s="62" t="str">
        <f t="shared" si="188"/>
        <v/>
      </c>
    </row>
    <row r="2414" spans="1:6">
      <c r="A2414" s="60">
        <v>240900</v>
      </c>
      <c r="B2414" s="60">
        <f t="shared" si="186"/>
        <v>4908156</v>
      </c>
      <c r="C2414" s="60">
        <f t="shared" si="189"/>
        <v>4908156</v>
      </c>
      <c r="D2414" s="61">
        <f t="shared" si="185"/>
        <v>1</v>
      </c>
      <c r="E2414" s="64">
        <f t="shared" si="187"/>
        <v>490.81564767232106</v>
      </c>
      <c r="F2414" s="62" t="str">
        <f t="shared" si="188"/>
        <v/>
      </c>
    </row>
    <row r="2415" spans="1:6">
      <c r="A2415" s="60">
        <v>241000</v>
      </c>
      <c r="B2415" s="60">
        <f t="shared" si="186"/>
        <v>4909175</v>
      </c>
      <c r="C2415" s="60">
        <f t="shared" si="189"/>
        <v>4909175</v>
      </c>
      <c r="D2415" s="61">
        <f t="shared" si="185"/>
        <v>1</v>
      </c>
      <c r="E2415" s="64">
        <f t="shared" si="187"/>
        <v>490.91750834534309</v>
      </c>
      <c r="F2415" s="62" t="str">
        <f t="shared" si="188"/>
        <v/>
      </c>
    </row>
    <row r="2416" spans="1:6">
      <c r="A2416" s="60">
        <v>241100</v>
      </c>
      <c r="B2416" s="60">
        <f t="shared" si="186"/>
        <v>4910193</v>
      </c>
      <c r="C2416" s="60">
        <f t="shared" si="189"/>
        <v>4910193</v>
      </c>
      <c r="D2416" s="61">
        <f t="shared" si="185"/>
        <v>1</v>
      </c>
      <c r="E2416" s="64">
        <f t="shared" si="187"/>
        <v>491.01934788763668</v>
      </c>
      <c r="F2416" s="62" t="str">
        <f t="shared" si="188"/>
        <v/>
      </c>
    </row>
    <row r="2417" spans="1:6">
      <c r="A2417" s="60">
        <v>241200</v>
      </c>
      <c r="B2417" s="60">
        <f t="shared" si="186"/>
        <v>4911212</v>
      </c>
      <c r="C2417" s="60">
        <f t="shared" si="189"/>
        <v>4911212</v>
      </c>
      <c r="D2417" s="61">
        <f t="shared" si="185"/>
        <v>1</v>
      </c>
      <c r="E2417" s="64">
        <f t="shared" si="187"/>
        <v>491.12116631234699</v>
      </c>
      <c r="F2417" s="62" t="str">
        <f t="shared" si="188"/>
        <v/>
      </c>
    </row>
    <row r="2418" spans="1:6">
      <c r="A2418" s="60">
        <v>241300</v>
      </c>
      <c r="B2418" s="60">
        <f t="shared" si="186"/>
        <v>4912230</v>
      </c>
      <c r="C2418" s="60">
        <f t="shared" si="189"/>
        <v>4912230</v>
      </c>
      <c r="D2418" s="61">
        <f t="shared" si="185"/>
        <v>1</v>
      </c>
      <c r="E2418" s="64">
        <f t="shared" si="187"/>
        <v>491.22296363260546</v>
      </c>
      <c r="F2418" s="62" t="str">
        <f t="shared" si="188"/>
        <v/>
      </c>
    </row>
    <row r="2419" spans="1:6">
      <c r="A2419" s="60">
        <v>241400</v>
      </c>
      <c r="B2419" s="60">
        <f t="shared" si="186"/>
        <v>4913247</v>
      </c>
      <c r="C2419" s="60">
        <f t="shared" si="189"/>
        <v>4913247</v>
      </c>
      <c r="D2419" s="61">
        <f t="shared" si="185"/>
        <v>1</v>
      </c>
      <c r="E2419" s="64">
        <f t="shared" si="187"/>
        <v>491.32473986152985</v>
      </c>
      <c r="F2419" s="62" t="str">
        <f t="shared" si="188"/>
        <v/>
      </c>
    </row>
    <row r="2420" spans="1:6">
      <c r="A2420" s="60">
        <v>241500</v>
      </c>
      <c r="B2420" s="60">
        <f t="shared" si="186"/>
        <v>4914265</v>
      </c>
      <c r="C2420" s="60">
        <f t="shared" si="189"/>
        <v>4914265</v>
      </c>
      <c r="D2420" s="61">
        <f t="shared" si="185"/>
        <v>1</v>
      </c>
      <c r="E2420" s="64">
        <f t="shared" si="187"/>
        <v>491.42649501222456</v>
      </c>
      <c r="F2420" s="62" t="str">
        <f t="shared" si="188"/>
        <v/>
      </c>
    </row>
    <row r="2421" spans="1:6">
      <c r="A2421" s="60">
        <v>241600</v>
      </c>
      <c r="B2421" s="60">
        <f t="shared" si="186"/>
        <v>4915282</v>
      </c>
      <c r="C2421" s="60">
        <f t="shared" si="189"/>
        <v>4915282</v>
      </c>
      <c r="D2421" s="61">
        <f t="shared" si="185"/>
        <v>1</v>
      </c>
      <c r="E2421" s="64">
        <f t="shared" si="187"/>
        <v>491.5282290977803</v>
      </c>
      <c r="F2421" s="62" t="str">
        <f t="shared" si="188"/>
        <v/>
      </c>
    </row>
    <row r="2422" spans="1:6">
      <c r="A2422" s="60">
        <v>241700</v>
      </c>
      <c r="B2422" s="60">
        <f t="shared" si="186"/>
        <v>4916299</v>
      </c>
      <c r="C2422" s="60">
        <f t="shared" si="189"/>
        <v>4916299</v>
      </c>
      <c r="D2422" s="61">
        <f t="shared" si="185"/>
        <v>1</v>
      </c>
      <c r="E2422" s="64">
        <f t="shared" si="187"/>
        <v>491.62994213127416</v>
      </c>
      <c r="F2422" s="62" t="str">
        <f t="shared" si="188"/>
        <v/>
      </c>
    </row>
    <row r="2423" spans="1:6">
      <c r="A2423" s="60">
        <v>241800</v>
      </c>
      <c r="B2423" s="60">
        <f t="shared" si="186"/>
        <v>4917316</v>
      </c>
      <c r="C2423" s="60">
        <f t="shared" si="189"/>
        <v>4917316</v>
      </c>
      <c r="D2423" s="61">
        <f t="shared" si="185"/>
        <v>1</v>
      </c>
      <c r="E2423" s="64">
        <f t="shared" si="187"/>
        <v>491.73163412576986</v>
      </c>
      <c r="F2423" s="62" t="str">
        <f t="shared" si="188"/>
        <v/>
      </c>
    </row>
    <row r="2424" spans="1:6">
      <c r="A2424" s="60">
        <v>241900</v>
      </c>
      <c r="B2424" s="60">
        <f t="shared" si="186"/>
        <v>4918333</v>
      </c>
      <c r="C2424" s="60">
        <f t="shared" si="189"/>
        <v>4918333</v>
      </c>
      <c r="D2424" s="61">
        <f t="shared" si="185"/>
        <v>1</v>
      </c>
      <c r="E2424" s="64">
        <f t="shared" si="187"/>
        <v>491.8333050943175</v>
      </c>
      <c r="F2424" s="62" t="str">
        <f t="shared" si="188"/>
        <v/>
      </c>
    </row>
    <row r="2425" spans="1:6">
      <c r="A2425" s="60">
        <v>242000</v>
      </c>
      <c r="B2425" s="60">
        <f t="shared" si="186"/>
        <v>4919350</v>
      </c>
      <c r="C2425" s="60">
        <f t="shared" si="189"/>
        <v>4919350</v>
      </c>
      <c r="D2425" s="61">
        <f t="shared" si="185"/>
        <v>1</v>
      </c>
      <c r="E2425" s="64">
        <f t="shared" si="187"/>
        <v>491.93495504995371</v>
      </c>
      <c r="F2425" s="62" t="str">
        <f t="shared" si="188"/>
        <v/>
      </c>
    </row>
    <row r="2426" spans="1:6">
      <c r="A2426" s="60">
        <v>242100</v>
      </c>
      <c r="B2426" s="60">
        <f t="shared" si="186"/>
        <v>4920366</v>
      </c>
      <c r="C2426" s="60">
        <f t="shared" si="189"/>
        <v>4920366</v>
      </c>
      <c r="D2426" s="61">
        <f t="shared" si="185"/>
        <v>1</v>
      </c>
      <c r="E2426" s="64">
        <f t="shared" si="187"/>
        <v>492.03658400570174</v>
      </c>
      <c r="F2426" s="62" t="str">
        <f t="shared" si="188"/>
        <v/>
      </c>
    </row>
    <row r="2427" spans="1:6">
      <c r="A2427" s="60">
        <v>242200</v>
      </c>
      <c r="B2427" s="60">
        <f t="shared" si="186"/>
        <v>4921382</v>
      </c>
      <c r="C2427" s="60">
        <f t="shared" si="189"/>
        <v>4921382</v>
      </c>
      <c r="D2427" s="61">
        <f t="shared" si="185"/>
        <v>1</v>
      </c>
      <c r="E2427" s="64">
        <f t="shared" si="187"/>
        <v>492.13819197457133</v>
      </c>
      <c r="F2427" s="62" t="str">
        <f t="shared" si="188"/>
        <v/>
      </c>
    </row>
    <row r="2428" spans="1:6">
      <c r="A2428" s="60">
        <v>242300</v>
      </c>
      <c r="B2428" s="60">
        <f t="shared" si="186"/>
        <v>4922398</v>
      </c>
      <c r="C2428" s="60">
        <f t="shared" si="189"/>
        <v>4922398</v>
      </c>
      <c r="D2428" s="61">
        <f t="shared" si="185"/>
        <v>1</v>
      </c>
      <c r="E2428" s="64">
        <f t="shared" si="187"/>
        <v>492.2397789695587</v>
      </c>
      <c r="F2428" s="62" t="str">
        <f t="shared" si="188"/>
        <v/>
      </c>
    </row>
    <row r="2429" spans="1:6">
      <c r="A2429" s="60">
        <v>242400</v>
      </c>
      <c r="B2429" s="60">
        <f t="shared" si="186"/>
        <v>4923413</v>
      </c>
      <c r="C2429" s="60">
        <f t="shared" si="189"/>
        <v>4923413</v>
      </c>
      <c r="D2429" s="61">
        <f t="shared" si="185"/>
        <v>1</v>
      </c>
      <c r="E2429" s="64">
        <f t="shared" si="187"/>
        <v>492.34134500364684</v>
      </c>
      <c r="F2429" s="62" t="str">
        <f t="shared" si="188"/>
        <v/>
      </c>
    </row>
    <row r="2430" spans="1:6">
      <c r="A2430" s="60">
        <v>242500</v>
      </c>
      <c r="B2430" s="60">
        <f t="shared" si="186"/>
        <v>4924429</v>
      </c>
      <c r="C2430" s="60">
        <f t="shared" si="189"/>
        <v>4924429</v>
      </c>
      <c r="D2430" s="61">
        <f t="shared" si="185"/>
        <v>1</v>
      </c>
      <c r="E2430" s="64">
        <f t="shared" si="187"/>
        <v>492.44289008980525</v>
      </c>
      <c r="F2430" s="62" t="str">
        <f t="shared" si="188"/>
        <v/>
      </c>
    </row>
    <row r="2431" spans="1:6">
      <c r="A2431" s="60">
        <v>242600</v>
      </c>
      <c r="B2431" s="60">
        <f t="shared" si="186"/>
        <v>4925444</v>
      </c>
      <c r="C2431" s="60">
        <f t="shared" si="189"/>
        <v>4925444</v>
      </c>
      <c r="D2431" s="61">
        <f t="shared" si="185"/>
        <v>1</v>
      </c>
      <c r="E2431" s="64">
        <f t="shared" si="187"/>
        <v>492.54441424099002</v>
      </c>
      <c r="F2431" s="62" t="str">
        <f t="shared" si="188"/>
        <v/>
      </c>
    </row>
    <row r="2432" spans="1:6">
      <c r="A2432" s="60">
        <v>242700</v>
      </c>
      <c r="B2432" s="60">
        <f t="shared" si="186"/>
        <v>4926459</v>
      </c>
      <c r="C2432" s="60">
        <f t="shared" si="189"/>
        <v>4926459</v>
      </c>
      <c r="D2432" s="61">
        <f t="shared" si="185"/>
        <v>1</v>
      </c>
      <c r="E2432" s="64">
        <f t="shared" si="187"/>
        <v>492.64591747014407</v>
      </c>
      <c r="F2432" s="62" t="str">
        <f t="shared" si="188"/>
        <v/>
      </c>
    </row>
    <row r="2433" spans="1:6">
      <c r="A2433" s="60">
        <v>242800</v>
      </c>
      <c r="B2433" s="60">
        <f t="shared" si="186"/>
        <v>4927474</v>
      </c>
      <c r="C2433" s="60">
        <f t="shared" si="189"/>
        <v>4927474</v>
      </c>
      <c r="D2433" s="61">
        <f t="shared" si="185"/>
        <v>1</v>
      </c>
      <c r="E2433" s="64">
        <f t="shared" si="187"/>
        <v>492.74739979019677</v>
      </c>
      <c r="F2433" s="62" t="str">
        <f t="shared" si="188"/>
        <v/>
      </c>
    </row>
    <row r="2434" spans="1:6">
      <c r="A2434" s="60">
        <v>242900</v>
      </c>
      <c r="B2434" s="60">
        <f t="shared" si="186"/>
        <v>4928489</v>
      </c>
      <c r="C2434" s="60">
        <f t="shared" si="189"/>
        <v>4928489</v>
      </c>
      <c r="D2434" s="61">
        <f t="shared" si="185"/>
        <v>1</v>
      </c>
      <c r="E2434" s="64">
        <f t="shared" si="187"/>
        <v>492.8488612140643</v>
      </c>
      <c r="F2434" s="62" t="str">
        <f t="shared" si="188"/>
        <v/>
      </c>
    </row>
    <row r="2435" spans="1:6">
      <c r="A2435" s="60">
        <v>243000</v>
      </c>
      <c r="B2435" s="60">
        <f t="shared" si="186"/>
        <v>4929503</v>
      </c>
      <c r="C2435" s="60">
        <f t="shared" si="189"/>
        <v>4929503</v>
      </c>
      <c r="D2435" s="61">
        <f t="shared" si="185"/>
        <v>1</v>
      </c>
      <c r="E2435" s="64">
        <f t="shared" si="187"/>
        <v>492.9503017546495</v>
      </c>
      <c r="F2435" s="62" t="str">
        <f t="shared" si="188"/>
        <v/>
      </c>
    </row>
    <row r="2436" spans="1:6">
      <c r="A2436" s="60">
        <v>243100</v>
      </c>
      <c r="B2436" s="60">
        <f t="shared" si="186"/>
        <v>4930517</v>
      </c>
      <c r="C2436" s="60">
        <f t="shared" si="189"/>
        <v>4930517</v>
      </c>
      <c r="D2436" s="61">
        <f t="shared" si="185"/>
        <v>1</v>
      </c>
      <c r="E2436" s="64">
        <f t="shared" si="187"/>
        <v>493.05172142484201</v>
      </c>
      <c r="F2436" s="62" t="str">
        <f t="shared" si="188"/>
        <v/>
      </c>
    </row>
    <row r="2437" spans="1:6">
      <c r="A2437" s="60">
        <v>243200</v>
      </c>
      <c r="B2437" s="60">
        <f t="shared" si="186"/>
        <v>4931531</v>
      </c>
      <c r="C2437" s="60">
        <f t="shared" si="189"/>
        <v>4931531</v>
      </c>
      <c r="D2437" s="61">
        <f t="shared" ref="D2437:D2500" si="190">(A2437-INDEX(兵力区间,MATCH(A2437,兵力区间,1)))/(INDEX(兵力区间,MATCH(A2437,兵力区间,1)+1)-INDEX(兵力区间,MATCH(A2437,兵力区间,1)))*((INDEX(兵力调节,MATCH(A2437,兵力区间,1)+1,2)-INDEX(兵力调节,MATCH(A2437,兵力区间,1),2)))+INDEX(兵力调节,MATCH(A2437,兵力区间,1),2)</f>
        <v>1</v>
      </c>
      <c r="E2437" s="64">
        <f t="shared" si="187"/>
        <v>493.15312023751812</v>
      </c>
      <c r="F2437" s="62" t="str">
        <f t="shared" si="188"/>
        <v/>
      </c>
    </row>
    <row r="2438" spans="1:6">
      <c r="A2438" s="60">
        <v>243300</v>
      </c>
      <c r="B2438" s="60">
        <f t="shared" si="186"/>
        <v>4932545</v>
      </c>
      <c r="C2438" s="60">
        <f t="shared" si="189"/>
        <v>4932545</v>
      </c>
      <c r="D2438" s="61">
        <f t="shared" si="190"/>
        <v>1</v>
      </c>
      <c r="E2438" s="64">
        <f t="shared" si="187"/>
        <v>493.25449820554093</v>
      </c>
      <c r="F2438" s="62" t="str">
        <f t="shared" si="188"/>
        <v/>
      </c>
    </row>
    <row r="2439" spans="1:6">
      <c r="A2439" s="60">
        <v>243400</v>
      </c>
      <c r="B2439" s="60">
        <f t="shared" ref="B2439:B2502" si="191">ROUND(D2439*E2439*10000,0)</f>
        <v>4933559</v>
      </c>
      <c r="C2439" s="60">
        <f t="shared" si="189"/>
        <v>4933559</v>
      </c>
      <c r="D2439" s="61">
        <f t="shared" si="190"/>
        <v>1</v>
      </c>
      <c r="E2439" s="64">
        <f t="shared" ref="E2439:E2502" si="192">A2439^0.5</f>
        <v>493.35585534176039</v>
      </c>
      <c r="F2439" s="62" t="str">
        <f t="shared" si="188"/>
        <v/>
      </c>
    </row>
    <row r="2440" spans="1:6">
      <c r="A2440" s="60">
        <v>243500</v>
      </c>
      <c r="B2440" s="60">
        <f t="shared" si="191"/>
        <v>4934572</v>
      </c>
      <c r="C2440" s="60">
        <f t="shared" si="189"/>
        <v>4934572</v>
      </c>
      <c r="D2440" s="61">
        <f t="shared" si="190"/>
        <v>1</v>
      </c>
      <c r="E2440" s="64">
        <f t="shared" si="192"/>
        <v>493.45719165901312</v>
      </c>
      <c r="F2440" s="62" t="str">
        <f t="shared" ref="F2440:F2503" si="193">IF(B2440&lt;B2439,1,"")</f>
        <v/>
      </c>
    </row>
    <row r="2441" spans="1:6">
      <c r="A2441" s="60">
        <v>243600</v>
      </c>
      <c r="B2441" s="60">
        <f t="shared" si="191"/>
        <v>4935585</v>
      </c>
      <c r="C2441" s="60">
        <f t="shared" si="189"/>
        <v>4935585</v>
      </c>
      <c r="D2441" s="61">
        <f t="shared" si="190"/>
        <v>1</v>
      </c>
      <c r="E2441" s="64">
        <f t="shared" si="192"/>
        <v>493.55850717012265</v>
      </c>
      <c r="F2441" s="62" t="str">
        <f t="shared" si="193"/>
        <v/>
      </c>
    </row>
    <row r="2442" spans="1:6">
      <c r="A2442" s="60">
        <v>243700</v>
      </c>
      <c r="B2442" s="60">
        <f t="shared" si="191"/>
        <v>4936598</v>
      </c>
      <c r="C2442" s="60">
        <f t="shared" si="189"/>
        <v>4936598</v>
      </c>
      <c r="D2442" s="61">
        <f t="shared" si="190"/>
        <v>1</v>
      </c>
      <c r="E2442" s="64">
        <f t="shared" si="192"/>
        <v>493.65980188789933</v>
      </c>
      <c r="F2442" s="62" t="str">
        <f t="shared" si="193"/>
        <v/>
      </c>
    </row>
    <row r="2443" spans="1:6">
      <c r="A2443" s="60">
        <v>243800</v>
      </c>
      <c r="B2443" s="60">
        <f t="shared" si="191"/>
        <v>4937611</v>
      </c>
      <c r="C2443" s="60">
        <f t="shared" ref="C2443:C2506" si="194">ROUND(D2443*E2443*10000,0)</f>
        <v>4937611</v>
      </c>
      <c r="D2443" s="61">
        <f t="shared" si="190"/>
        <v>1</v>
      </c>
      <c r="E2443" s="64">
        <f t="shared" si="192"/>
        <v>493.76107582514032</v>
      </c>
      <c r="F2443" s="62" t="str">
        <f t="shared" si="193"/>
        <v/>
      </c>
    </row>
    <row r="2444" spans="1:6">
      <c r="A2444" s="60">
        <v>243900</v>
      </c>
      <c r="B2444" s="60">
        <f t="shared" si="191"/>
        <v>4938623</v>
      </c>
      <c r="C2444" s="60">
        <f t="shared" si="194"/>
        <v>4938623</v>
      </c>
      <c r="D2444" s="61">
        <f t="shared" si="190"/>
        <v>1</v>
      </c>
      <c r="E2444" s="64">
        <f t="shared" si="192"/>
        <v>493.86232899462982</v>
      </c>
      <c r="F2444" s="62" t="str">
        <f t="shared" si="193"/>
        <v/>
      </c>
    </row>
    <row r="2445" spans="1:6">
      <c r="A2445" s="60">
        <v>244000</v>
      </c>
      <c r="B2445" s="60">
        <f t="shared" si="191"/>
        <v>4939636</v>
      </c>
      <c r="C2445" s="60">
        <f t="shared" si="194"/>
        <v>4939636</v>
      </c>
      <c r="D2445" s="61">
        <f t="shared" si="190"/>
        <v>1</v>
      </c>
      <c r="E2445" s="64">
        <f t="shared" si="192"/>
        <v>493.96356140913878</v>
      </c>
      <c r="F2445" s="62" t="str">
        <f t="shared" si="193"/>
        <v/>
      </c>
    </row>
    <row r="2446" spans="1:6">
      <c r="A2446" s="60">
        <v>244100</v>
      </c>
      <c r="B2446" s="60">
        <f t="shared" si="191"/>
        <v>4940648</v>
      </c>
      <c r="C2446" s="60">
        <f t="shared" si="194"/>
        <v>4940648</v>
      </c>
      <c r="D2446" s="61">
        <f t="shared" si="190"/>
        <v>1</v>
      </c>
      <c r="E2446" s="64">
        <f t="shared" si="192"/>
        <v>494.06477308142502</v>
      </c>
      <c r="F2446" s="62" t="str">
        <f t="shared" si="193"/>
        <v/>
      </c>
    </row>
    <row r="2447" spans="1:6">
      <c r="A2447" s="60">
        <v>244200</v>
      </c>
      <c r="B2447" s="60">
        <f t="shared" si="191"/>
        <v>4941660</v>
      </c>
      <c r="C2447" s="60">
        <f t="shared" si="194"/>
        <v>4941660</v>
      </c>
      <c r="D2447" s="61">
        <f t="shared" si="190"/>
        <v>1</v>
      </c>
      <c r="E2447" s="64">
        <f t="shared" si="192"/>
        <v>494.16596402423346</v>
      </c>
      <c r="F2447" s="62" t="str">
        <f t="shared" si="193"/>
        <v/>
      </c>
    </row>
    <row r="2448" spans="1:6">
      <c r="A2448" s="60">
        <v>244300</v>
      </c>
      <c r="B2448" s="60">
        <f t="shared" si="191"/>
        <v>4942671</v>
      </c>
      <c r="C2448" s="60">
        <f t="shared" si="194"/>
        <v>4942671</v>
      </c>
      <c r="D2448" s="61">
        <f t="shared" si="190"/>
        <v>1</v>
      </c>
      <c r="E2448" s="64">
        <f t="shared" si="192"/>
        <v>494.2671342502959</v>
      </c>
      <c r="F2448" s="62" t="str">
        <f t="shared" si="193"/>
        <v/>
      </c>
    </row>
    <row r="2449" spans="1:6">
      <c r="A2449" s="60">
        <v>244400</v>
      </c>
      <c r="B2449" s="60">
        <f t="shared" si="191"/>
        <v>4943683</v>
      </c>
      <c r="C2449" s="60">
        <f t="shared" si="194"/>
        <v>4943683</v>
      </c>
      <c r="D2449" s="61">
        <f t="shared" si="190"/>
        <v>1</v>
      </c>
      <c r="E2449" s="64">
        <f t="shared" si="192"/>
        <v>494.36828377233098</v>
      </c>
      <c r="F2449" s="62" t="str">
        <f t="shared" si="193"/>
        <v/>
      </c>
    </row>
    <row r="2450" spans="1:6">
      <c r="A2450" s="60">
        <v>244500</v>
      </c>
      <c r="B2450" s="60">
        <f t="shared" si="191"/>
        <v>4944694</v>
      </c>
      <c r="C2450" s="60">
        <f t="shared" si="194"/>
        <v>4944694</v>
      </c>
      <c r="D2450" s="61">
        <f t="shared" si="190"/>
        <v>1</v>
      </c>
      <c r="E2450" s="64">
        <f t="shared" si="192"/>
        <v>494.46941260304465</v>
      </c>
      <c r="F2450" s="62" t="str">
        <f t="shared" si="193"/>
        <v/>
      </c>
    </row>
    <row r="2451" spans="1:6">
      <c r="A2451" s="60">
        <v>244600</v>
      </c>
      <c r="B2451" s="60">
        <f t="shared" si="191"/>
        <v>4945705</v>
      </c>
      <c r="C2451" s="60">
        <f t="shared" si="194"/>
        <v>4945705</v>
      </c>
      <c r="D2451" s="61">
        <f t="shared" si="190"/>
        <v>1</v>
      </c>
      <c r="E2451" s="64">
        <f t="shared" si="192"/>
        <v>494.57052075512951</v>
      </c>
      <c r="F2451" s="62" t="str">
        <f t="shared" si="193"/>
        <v/>
      </c>
    </row>
    <row r="2452" spans="1:6">
      <c r="A2452" s="60">
        <v>244700</v>
      </c>
      <c r="B2452" s="60">
        <f t="shared" si="191"/>
        <v>4946716</v>
      </c>
      <c r="C2452" s="60">
        <f t="shared" si="194"/>
        <v>4946716</v>
      </c>
      <c r="D2452" s="61">
        <f t="shared" si="190"/>
        <v>1</v>
      </c>
      <c r="E2452" s="64">
        <f t="shared" si="192"/>
        <v>494.67160824126546</v>
      </c>
      <c r="F2452" s="62" t="str">
        <f t="shared" si="193"/>
        <v/>
      </c>
    </row>
    <row r="2453" spans="1:6">
      <c r="A2453" s="60">
        <v>244800</v>
      </c>
      <c r="B2453" s="60">
        <f t="shared" si="191"/>
        <v>4947727</v>
      </c>
      <c r="C2453" s="60">
        <f t="shared" si="194"/>
        <v>4947727</v>
      </c>
      <c r="D2453" s="61">
        <f t="shared" si="190"/>
        <v>1</v>
      </c>
      <c r="E2453" s="64">
        <f t="shared" si="192"/>
        <v>494.77267507411926</v>
      </c>
      <c r="F2453" s="62" t="str">
        <f t="shared" si="193"/>
        <v/>
      </c>
    </row>
    <row r="2454" spans="1:6">
      <c r="A2454" s="60">
        <v>244900</v>
      </c>
      <c r="B2454" s="60">
        <f t="shared" si="191"/>
        <v>4948737</v>
      </c>
      <c r="C2454" s="60">
        <f t="shared" si="194"/>
        <v>4948737</v>
      </c>
      <c r="D2454" s="61">
        <f t="shared" si="190"/>
        <v>1</v>
      </c>
      <c r="E2454" s="64">
        <f t="shared" si="192"/>
        <v>494.87372126634489</v>
      </c>
      <c r="F2454" s="62" t="str">
        <f t="shared" si="193"/>
        <v/>
      </c>
    </row>
    <row r="2455" spans="1:6">
      <c r="A2455" s="60">
        <v>245000</v>
      </c>
      <c r="B2455" s="60">
        <f t="shared" si="191"/>
        <v>4949747</v>
      </c>
      <c r="C2455" s="60">
        <f t="shared" si="194"/>
        <v>4949747</v>
      </c>
      <c r="D2455" s="61">
        <f t="shared" si="190"/>
        <v>1</v>
      </c>
      <c r="E2455" s="64">
        <f t="shared" si="192"/>
        <v>494.97474683058329</v>
      </c>
      <c r="F2455" s="62" t="str">
        <f t="shared" si="193"/>
        <v/>
      </c>
    </row>
    <row r="2456" spans="1:6">
      <c r="A2456" s="60">
        <v>245100</v>
      </c>
      <c r="B2456" s="60">
        <f t="shared" si="191"/>
        <v>4950758</v>
      </c>
      <c r="C2456" s="60">
        <f t="shared" si="194"/>
        <v>4950758</v>
      </c>
      <c r="D2456" s="61">
        <f t="shared" si="190"/>
        <v>1</v>
      </c>
      <c r="E2456" s="64">
        <f t="shared" si="192"/>
        <v>495.07575177946251</v>
      </c>
      <c r="F2456" s="62" t="str">
        <f t="shared" si="193"/>
        <v/>
      </c>
    </row>
    <row r="2457" spans="1:6">
      <c r="A2457" s="60">
        <v>245200</v>
      </c>
      <c r="B2457" s="60">
        <f t="shared" si="191"/>
        <v>4951767</v>
      </c>
      <c r="C2457" s="60">
        <f t="shared" si="194"/>
        <v>4951767</v>
      </c>
      <c r="D2457" s="61">
        <f t="shared" si="190"/>
        <v>1</v>
      </c>
      <c r="E2457" s="64">
        <f t="shared" si="192"/>
        <v>495.17673612559787</v>
      </c>
      <c r="F2457" s="62" t="str">
        <f t="shared" si="193"/>
        <v/>
      </c>
    </row>
    <row r="2458" spans="1:6">
      <c r="A2458" s="60">
        <v>245300</v>
      </c>
      <c r="B2458" s="60">
        <f t="shared" si="191"/>
        <v>4952777</v>
      </c>
      <c r="C2458" s="60">
        <f t="shared" si="194"/>
        <v>4952777</v>
      </c>
      <c r="D2458" s="61">
        <f t="shared" si="190"/>
        <v>1</v>
      </c>
      <c r="E2458" s="64">
        <f t="shared" si="192"/>
        <v>495.27769988159167</v>
      </c>
      <c r="F2458" s="62" t="str">
        <f t="shared" si="193"/>
        <v/>
      </c>
    </row>
    <row r="2459" spans="1:6">
      <c r="A2459" s="60">
        <v>245400</v>
      </c>
      <c r="B2459" s="60">
        <f t="shared" si="191"/>
        <v>4953786</v>
      </c>
      <c r="C2459" s="60">
        <f t="shared" si="194"/>
        <v>4953786</v>
      </c>
      <c r="D2459" s="61">
        <f t="shared" si="190"/>
        <v>1</v>
      </c>
      <c r="E2459" s="64">
        <f t="shared" si="192"/>
        <v>495.37864306003343</v>
      </c>
      <c r="F2459" s="62" t="str">
        <f t="shared" si="193"/>
        <v/>
      </c>
    </row>
    <row r="2460" spans="1:6">
      <c r="A2460" s="60">
        <v>245500</v>
      </c>
      <c r="B2460" s="60">
        <f t="shared" si="191"/>
        <v>4954796</v>
      </c>
      <c r="C2460" s="60">
        <f t="shared" si="194"/>
        <v>4954796</v>
      </c>
      <c r="D2460" s="61">
        <f t="shared" si="190"/>
        <v>1</v>
      </c>
      <c r="E2460" s="64">
        <f t="shared" si="192"/>
        <v>495.47956567349979</v>
      </c>
      <c r="F2460" s="62" t="str">
        <f t="shared" si="193"/>
        <v/>
      </c>
    </row>
    <row r="2461" spans="1:6">
      <c r="A2461" s="60">
        <v>245600</v>
      </c>
      <c r="B2461" s="60">
        <f t="shared" si="191"/>
        <v>4955805</v>
      </c>
      <c r="C2461" s="60">
        <f t="shared" si="194"/>
        <v>4955805</v>
      </c>
      <c r="D2461" s="61">
        <f t="shared" si="190"/>
        <v>1</v>
      </c>
      <c r="E2461" s="64">
        <f t="shared" si="192"/>
        <v>495.5804677345547</v>
      </c>
      <c r="F2461" s="62" t="str">
        <f t="shared" si="193"/>
        <v/>
      </c>
    </row>
    <row r="2462" spans="1:6">
      <c r="A2462" s="60">
        <v>245700</v>
      </c>
      <c r="B2462" s="60">
        <f t="shared" si="191"/>
        <v>4956813</v>
      </c>
      <c r="C2462" s="60">
        <f t="shared" si="194"/>
        <v>4956813</v>
      </c>
      <c r="D2462" s="61">
        <f t="shared" si="190"/>
        <v>1</v>
      </c>
      <c r="E2462" s="64">
        <f t="shared" si="192"/>
        <v>495.68134925574918</v>
      </c>
      <c r="F2462" s="62" t="str">
        <f t="shared" si="193"/>
        <v/>
      </c>
    </row>
    <row r="2463" spans="1:6">
      <c r="A2463" s="60">
        <v>245800</v>
      </c>
      <c r="B2463" s="60">
        <f t="shared" si="191"/>
        <v>4957822</v>
      </c>
      <c r="C2463" s="60">
        <f t="shared" si="194"/>
        <v>4957822</v>
      </c>
      <c r="D2463" s="61">
        <f t="shared" si="190"/>
        <v>1</v>
      </c>
      <c r="E2463" s="64">
        <f t="shared" si="192"/>
        <v>495.78221024962158</v>
      </c>
      <c r="F2463" s="62" t="str">
        <f t="shared" si="193"/>
        <v/>
      </c>
    </row>
    <row r="2464" spans="1:6">
      <c r="A2464" s="60">
        <v>245900</v>
      </c>
      <c r="B2464" s="60">
        <f t="shared" si="191"/>
        <v>4958831</v>
      </c>
      <c r="C2464" s="60">
        <f t="shared" si="194"/>
        <v>4958831</v>
      </c>
      <c r="D2464" s="61">
        <f t="shared" si="190"/>
        <v>1</v>
      </c>
      <c r="E2464" s="64">
        <f t="shared" si="192"/>
        <v>495.88305072869753</v>
      </c>
      <c r="F2464" s="62" t="str">
        <f t="shared" si="193"/>
        <v/>
      </c>
    </row>
    <row r="2465" spans="1:6">
      <c r="A2465" s="60">
        <v>246000</v>
      </c>
      <c r="B2465" s="60">
        <f t="shared" si="191"/>
        <v>4959839</v>
      </c>
      <c r="C2465" s="60">
        <f t="shared" si="194"/>
        <v>4959839</v>
      </c>
      <c r="D2465" s="61">
        <f t="shared" si="190"/>
        <v>1</v>
      </c>
      <c r="E2465" s="64">
        <f t="shared" si="192"/>
        <v>495.98387070548978</v>
      </c>
      <c r="F2465" s="62" t="str">
        <f t="shared" si="193"/>
        <v/>
      </c>
    </row>
    <row r="2466" spans="1:6">
      <c r="A2466" s="60">
        <v>246100</v>
      </c>
      <c r="B2466" s="60">
        <f t="shared" si="191"/>
        <v>4960847</v>
      </c>
      <c r="C2466" s="60">
        <f t="shared" si="194"/>
        <v>4960847</v>
      </c>
      <c r="D2466" s="61">
        <f t="shared" si="190"/>
        <v>1</v>
      </c>
      <c r="E2466" s="64">
        <f t="shared" si="192"/>
        <v>496.08467019249849</v>
      </c>
      <c r="F2466" s="62" t="str">
        <f t="shared" si="193"/>
        <v/>
      </c>
    </row>
    <row r="2467" spans="1:6">
      <c r="A2467" s="60">
        <v>246200</v>
      </c>
      <c r="B2467" s="60">
        <f t="shared" si="191"/>
        <v>4961854</v>
      </c>
      <c r="C2467" s="60">
        <f t="shared" si="194"/>
        <v>4961854</v>
      </c>
      <c r="D2467" s="61">
        <f t="shared" si="190"/>
        <v>1</v>
      </c>
      <c r="E2467" s="64">
        <f t="shared" si="192"/>
        <v>496.18544920221109</v>
      </c>
      <c r="F2467" s="62" t="str">
        <f t="shared" si="193"/>
        <v/>
      </c>
    </row>
    <row r="2468" spans="1:6">
      <c r="A2468" s="60">
        <v>246300</v>
      </c>
      <c r="B2468" s="60">
        <f t="shared" si="191"/>
        <v>4962862</v>
      </c>
      <c r="C2468" s="60">
        <f t="shared" si="194"/>
        <v>4962862</v>
      </c>
      <c r="D2468" s="61">
        <f t="shared" si="190"/>
        <v>1</v>
      </c>
      <c r="E2468" s="64">
        <f t="shared" si="192"/>
        <v>496.28620774710231</v>
      </c>
      <c r="F2468" s="62" t="str">
        <f t="shared" si="193"/>
        <v/>
      </c>
    </row>
    <row r="2469" spans="1:6">
      <c r="A2469" s="60">
        <v>246400</v>
      </c>
      <c r="B2469" s="60">
        <f t="shared" si="191"/>
        <v>4963869</v>
      </c>
      <c r="C2469" s="60">
        <f t="shared" si="194"/>
        <v>4963869</v>
      </c>
      <c r="D2469" s="61">
        <f t="shared" si="190"/>
        <v>1</v>
      </c>
      <c r="E2469" s="64">
        <f t="shared" si="192"/>
        <v>496.38694583963428</v>
      </c>
      <c r="F2469" s="62" t="str">
        <f t="shared" si="193"/>
        <v/>
      </c>
    </row>
    <row r="2470" spans="1:6">
      <c r="A2470" s="60">
        <v>246500</v>
      </c>
      <c r="B2470" s="60">
        <f t="shared" si="191"/>
        <v>4964877</v>
      </c>
      <c r="C2470" s="60">
        <f t="shared" si="194"/>
        <v>4964877</v>
      </c>
      <c r="D2470" s="61">
        <f t="shared" si="190"/>
        <v>1</v>
      </c>
      <c r="E2470" s="64">
        <f t="shared" si="192"/>
        <v>496.48766349225639</v>
      </c>
      <c r="F2470" s="62" t="str">
        <f t="shared" si="193"/>
        <v/>
      </c>
    </row>
    <row r="2471" spans="1:6">
      <c r="A2471" s="60">
        <v>246600</v>
      </c>
      <c r="B2471" s="60">
        <f t="shared" si="191"/>
        <v>4965884</v>
      </c>
      <c r="C2471" s="60">
        <f t="shared" si="194"/>
        <v>4965884</v>
      </c>
      <c r="D2471" s="61">
        <f t="shared" si="190"/>
        <v>1</v>
      </c>
      <c r="E2471" s="64">
        <f t="shared" si="192"/>
        <v>496.58836071740546</v>
      </c>
      <c r="F2471" s="62" t="str">
        <f t="shared" si="193"/>
        <v/>
      </c>
    </row>
    <row r="2472" spans="1:6">
      <c r="A2472" s="60">
        <v>246700</v>
      </c>
      <c r="B2472" s="60">
        <f t="shared" si="191"/>
        <v>4966890</v>
      </c>
      <c r="C2472" s="60">
        <f t="shared" si="194"/>
        <v>4966890</v>
      </c>
      <c r="D2472" s="61">
        <f t="shared" si="190"/>
        <v>1</v>
      </c>
      <c r="E2472" s="64">
        <f t="shared" si="192"/>
        <v>496.68903752750572</v>
      </c>
      <c r="F2472" s="62" t="str">
        <f t="shared" si="193"/>
        <v/>
      </c>
    </row>
    <row r="2473" spans="1:6">
      <c r="A2473" s="60">
        <v>246800</v>
      </c>
      <c r="B2473" s="60">
        <f t="shared" si="191"/>
        <v>4967897</v>
      </c>
      <c r="C2473" s="60">
        <f t="shared" si="194"/>
        <v>4967897</v>
      </c>
      <c r="D2473" s="61">
        <f t="shared" si="190"/>
        <v>1</v>
      </c>
      <c r="E2473" s="64">
        <f t="shared" si="192"/>
        <v>496.78969393496885</v>
      </c>
      <c r="F2473" s="62" t="str">
        <f t="shared" si="193"/>
        <v/>
      </c>
    </row>
    <row r="2474" spans="1:6">
      <c r="A2474" s="60">
        <v>246900</v>
      </c>
      <c r="B2474" s="60">
        <f t="shared" si="191"/>
        <v>4968903</v>
      </c>
      <c r="C2474" s="60">
        <f t="shared" si="194"/>
        <v>4968903</v>
      </c>
      <c r="D2474" s="61">
        <f t="shared" si="190"/>
        <v>1</v>
      </c>
      <c r="E2474" s="64">
        <f t="shared" si="192"/>
        <v>496.89032995219378</v>
      </c>
      <c r="F2474" s="62" t="str">
        <f t="shared" si="193"/>
        <v/>
      </c>
    </row>
    <row r="2475" spans="1:6">
      <c r="A2475" s="60">
        <v>247000</v>
      </c>
      <c r="B2475" s="60">
        <f t="shared" si="191"/>
        <v>4969909</v>
      </c>
      <c r="C2475" s="60">
        <f t="shared" si="194"/>
        <v>4969909</v>
      </c>
      <c r="D2475" s="61">
        <f t="shared" si="190"/>
        <v>1</v>
      </c>
      <c r="E2475" s="64">
        <f t="shared" si="192"/>
        <v>496.99094559156708</v>
      </c>
      <c r="F2475" s="62" t="str">
        <f t="shared" si="193"/>
        <v/>
      </c>
    </row>
    <row r="2476" spans="1:6">
      <c r="A2476" s="60">
        <v>247100</v>
      </c>
      <c r="B2476" s="60">
        <f t="shared" si="191"/>
        <v>4970915</v>
      </c>
      <c r="C2476" s="60">
        <f t="shared" si="194"/>
        <v>4970915</v>
      </c>
      <c r="D2476" s="61">
        <f t="shared" si="190"/>
        <v>1</v>
      </c>
      <c r="E2476" s="64">
        <f t="shared" si="192"/>
        <v>497.09154086546272</v>
      </c>
      <c r="F2476" s="62" t="str">
        <f t="shared" si="193"/>
        <v/>
      </c>
    </row>
    <row r="2477" spans="1:6">
      <c r="A2477" s="60">
        <v>247200</v>
      </c>
      <c r="B2477" s="60">
        <f t="shared" si="191"/>
        <v>4971921</v>
      </c>
      <c r="C2477" s="60">
        <f t="shared" si="194"/>
        <v>4971921</v>
      </c>
      <c r="D2477" s="61">
        <f t="shared" si="190"/>
        <v>1</v>
      </c>
      <c r="E2477" s="64">
        <f t="shared" si="192"/>
        <v>497.19211578624214</v>
      </c>
      <c r="F2477" s="62" t="str">
        <f t="shared" si="193"/>
        <v/>
      </c>
    </row>
    <row r="2478" spans="1:6">
      <c r="A2478" s="60">
        <v>247300</v>
      </c>
      <c r="B2478" s="60">
        <f t="shared" si="191"/>
        <v>4972927</v>
      </c>
      <c r="C2478" s="60">
        <f t="shared" si="194"/>
        <v>4972927</v>
      </c>
      <c r="D2478" s="61">
        <f t="shared" si="190"/>
        <v>1</v>
      </c>
      <c r="E2478" s="64">
        <f t="shared" si="192"/>
        <v>497.29267036625424</v>
      </c>
      <c r="F2478" s="62" t="str">
        <f t="shared" si="193"/>
        <v/>
      </c>
    </row>
    <row r="2479" spans="1:6">
      <c r="A2479" s="60">
        <v>247400</v>
      </c>
      <c r="B2479" s="60">
        <f t="shared" si="191"/>
        <v>4973932</v>
      </c>
      <c r="C2479" s="60">
        <f t="shared" si="194"/>
        <v>4973932</v>
      </c>
      <c r="D2479" s="61">
        <f t="shared" si="190"/>
        <v>1</v>
      </c>
      <c r="E2479" s="64">
        <f t="shared" si="192"/>
        <v>497.39320461783552</v>
      </c>
      <c r="F2479" s="62" t="str">
        <f t="shared" si="193"/>
        <v/>
      </c>
    </row>
    <row r="2480" spans="1:6">
      <c r="A2480" s="60">
        <v>247500</v>
      </c>
      <c r="B2480" s="60">
        <f t="shared" si="191"/>
        <v>4974937</v>
      </c>
      <c r="C2480" s="60">
        <f t="shared" si="194"/>
        <v>4974937</v>
      </c>
      <c r="D2480" s="61">
        <f t="shared" si="190"/>
        <v>1</v>
      </c>
      <c r="E2480" s="64">
        <f t="shared" si="192"/>
        <v>497.49371855330998</v>
      </c>
      <c r="F2480" s="62" t="str">
        <f t="shared" si="193"/>
        <v/>
      </c>
    </row>
    <row r="2481" spans="1:6">
      <c r="A2481" s="60">
        <v>247600</v>
      </c>
      <c r="B2481" s="60">
        <f t="shared" si="191"/>
        <v>4975942</v>
      </c>
      <c r="C2481" s="60">
        <f t="shared" si="194"/>
        <v>4975942</v>
      </c>
      <c r="D2481" s="61">
        <f t="shared" si="190"/>
        <v>1</v>
      </c>
      <c r="E2481" s="64">
        <f t="shared" si="192"/>
        <v>497.59421218498915</v>
      </c>
      <c r="F2481" s="62" t="str">
        <f t="shared" si="193"/>
        <v/>
      </c>
    </row>
    <row r="2482" spans="1:6">
      <c r="A2482" s="60">
        <v>247700</v>
      </c>
      <c r="B2482" s="60">
        <f t="shared" si="191"/>
        <v>4976947</v>
      </c>
      <c r="C2482" s="60">
        <f t="shared" si="194"/>
        <v>4976947</v>
      </c>
      <c r="D2482" s="61">
        <f t="shared" si="190"/>
        <v>1</v>
      </c>
      <c r="E2482" s="64">
        <f t="shared" si="192"/>
        <v>497.69468552517213</v>
      </c>
      <c r="F2482" s="62" t="str">
        <f t="shared" si="193"/>
        <v/>
      </c>
    </row>
    <row r="2483" spans="1:6">
      <c r="A2483" s="60">
        <v>247800</v>
      </c>
      <c r="B2483" s="60">
        <f t="shared" si="191"/>
        <v>4977951</v>
      </c>
      <c r="C2483" s="60">
        <f t="shared" si="194"/>
        <v>4977951</v>
      </c>
      <c r="D2483" s="61">
        <f t="shared" si="190"/>
        <v>1</v>
      </c>
      <c r="E2483" s="64">
        <f t="shared" si="192"/>
        <v>497.7951385861457</v>
      </c>
      <c r="F2483" s="62" t="str">
        <f t="shared" si="193"/>
        <v/>
      </c>
    </row>
    <row r="2484" spans="1:6">
      <c r="A2484" s="60">
        <v>247900</v>
      </c>
      <c r="B2484" s="60">
        <f t="shared" si="191"/>
        <v>4978956</v>
      </c>
      <c r="C2484" s="60">
        <f t="shared" si="194"/>
        <v>4978956</v>
      </c>
      <c r="D2484" s="61">
        <f t="shared" si="190"/>
        <v>1</v>
      </c>
      <c r="E2484" s="64">
        <f t="shared" si="192"/>
        <v>497.89557138018409</v>
      </c>
      <c r="F2484" s="62" t="str">
        <f t="shared" si="193"/>
        <v/>
      </c>
    </row>
    <row r="2485" spans="1:6">
      <c r="A2485" s="60">
        <v>248000</v>
      </c>
      <c r="B2485" s="60">
        <f t="shared" si="191"/>
        <v>4979960</v>
      </c>
      <c r="C2485" s="60">
        <f t="shared" si="194"/>
        <v>4979960</v>
      </c>
      <c r="D2485" s="61">
        <f t="shared" si="190"/>
        <v>1</v>
      </c>
      <c r="E2485" s="64">
        <f t="shared" si="192"/>
        <v>497.9959839195493</v>
      </c>
      <c r="F2485" s="62" t="str">
        <f t="shared" si="193"/>
        <v/>
      </c>
    </row>
    <row r="2486" spans="1:6">
      <c r="A2486" s="60">
        <v>248100</v>
      </c>
      <c r="B2486" s="60">
        <f t="shared" si="191"/>
        <v>4980964</v>
      </c>
      <c r="C2486" s="60">
        <f t="shared" si="194"/>
        <v>4980964</v>
      </c>
      <c r="D2486" s="61">
        <f t="shared" si="190"/>
        <v>1</v>
      </c>
      <c r="E2486" s="64">
        <f t="shared" si="192"/>
        <v>498.09637621649085</v>
      </c>
      <c r="F2486" s="62" t="str">
        <f t="shared" si="193"/>
        <v/>
      </c>
    </row>
    <row r="2487" spans="1:6">
      <c r="A2487" s="60">
        <v>248200</v>
      </c>
      <c r="B2487" s="60">
        <f t="shared" si="191"/>
        <v>4981967</v>
      </c>
      <c r="C2487" s="60">
        <f t="shared" si="194"/>
        <v>4981967</v>
      </c>
      <c r="D2487" s="61">
        <f t="shared" si="190"/>
        <v>1</v>
      </c>
      <c r="E2487" s="64">
        <f t="shared" si="192"/>
        <v>498.19674828324605</v>
      </c>
      <c r="F2487" s="62" t="str">
        <f t="shared" si="193"/>
        <v/>
      </c>
    </row>
    <row r="2488" spans="1:6">
      <c r="A2488" s="60">
        <v>248300</v>
      </c>
      <c r="B2488" s="60">
        <f t="shared" si="191"/>
        <v>4982971</v>
      </c>
      <c r="C2488" s="60">
        <f t="shared" si="194"/>
        <v>4982971</v>
      </c>
      <c r="D2488" s="61">
        <f t="shared" si="190"/>
        <v>1</v>
      </c>
      <c r="E2488" s="64">
        <f t="shared" si="192"/>
        <v>498.2971001320397</v>
      </c>
      <c r="F2488" s="62" t="str">
        <f t="shared" si="193"/>
        <v/>
      </c>
    </row>
    <row r="2489" spans="1:6">
      <c r="A2489" s="60">
        <v>248400</v>
      </c>
      <c r="B2489" s="60">
        <f t="shared" si="191"/>
        <v>4983974</v>
      </c>
      <c r="C2489" s="60">
        <f t="shared" si="194"/>
        <v>4983974</v>
      </c>
      <c r="D2489" s="61">
        <f t="shared" si="190"/>
        <v>1</v>
      </c>
      <c r="E2489" s="64">
        <f t="shared" si="192"/>
        <v>498.3974317750845</v>
      </c>
      <c r="F2489" s="62" t="str">
        <f t="shared" si="193"/>
        <v/>
      </c>
    </row>
    <row r="2490" spans="1:6">
      <c r="A2490" s="60">
        <v>248500</v>
      </c>
      <c r="B2490" s="60">
        <f t="shared" si="191"/>
        <v>4984977</v>
      </c>
      <c r="C2490" s="60">
        <f t="shared" si="194"/>
        <v>4984977</v>
      </c>
      <c r="D2490" s="61">
        <f t="shared" si="190"/>
        <v>1</v>
      </c>
      <c r="E2490" s="64">
        <f t="shared" si="192"/>
        <v>498.49774322458069</v>
      </c>
      <c r="F2490" s="62" t="str">
        <f t="shared" si="193"/>
        <v/>
      </c>
    </row>
    <row r="2491" spans="1:6">
      <c r="A2491" s="60">
        <v>248600</v>
      </c>
      <c r="B2491" s="60">
        <f t="shared" si="191"/>
        <v>4985980</v>
      </c>
      <c r="C2491" s="60">
        <f t="shared" si="194"/>
        <v>4985980</v>
      </c>
      <c r="D2491" s="61">
        <f t="shared" si="190"/>
        <v>1</v>
      </c>
      <c r="E2491" s="64">
        <f t="shared" si="192"/>
        <v>498.59803449271641</v>
      </c>
      <c r="F2491" s="62" t="str">
        <f t="shared" si="193"/>
        <v/>
      </c>
    </row>
    <row r="2492" spans="1:6">
      <c r="A2492" s="60">
        <v>248700</v>
      </c>
      <c r="B2492" s="60">
        <f t="shared" si="191"/>
        <v>4986983</v>
      </c>
      <c r="C2492" s="60">
        <f t="shared" si="194"/>
        <v>4986983</v>
      </c>
      <c r="D2492" s="61">
        <f t="shared" si="190"/>
        <v>1</v>
      </c>
      <c r="E2492" s="64">
        <f t="shared" si="192"/>
        <v>498.69830559166729</v>
      </c>
      <c r="F2492" s="62" t="str">
        <f t="shared" si="193"/>
        <v/>
      </c>
    </row>
    <row r="2493" spans="1:6">
      <c r="A2493" s="60">
        <v>248800</v>
      </c>
      <c r="B2493" s="60">
        <f t="shared" si="191"/>
        <v>4987986</v>
      </c>
      <c r="C2493" s="60">
        <f t="shared" si="194"/>
        <v>4987986</v>
      </c>
      <c r="D2493" s="61">
        <f t="shared" si="190"/>
        <v>1</v>
      </c>
      <c r="E2493" s="64">
        <f t="shared" si="192"/>
        <v>498.79855653359704</v>
      </c>
      <c r="F2493" s="62" t="str">
        <f t="shared" si="193"/>
        <v/>
      </c>
    </row>
    <row r="2494" spans="1:6">
      <c r="A2494" s="60">
        <v>248900</v>
      </c>
      <c r="B2494" s="60">
        <f t="shared" si="191"/>
        <v>4988988</v>
      </c>
      <c r="C2494" s="60">
        <f t="shared" si="194"/>
        <v>4988988</v>
      </c>
      <c r="D2494" s="61">
        <f t="shared" si="190"/>
        <v>1</v>
      </c>
      <c r="E2494" s="64">
        <f t="shared" si="192"/>
        <v>498.89878733065689</v>
      </c>
      <c r="F2494" s="62" t="str">
        <f t="shared" si="193"/>
        <v/>
      </c>
    </row>
    <row r="2495" spans="1:6">
      <c r="A2495" s="60">
        <v>249000</v>
      </c>
      <c r="B2495" s="60">
        <f t="shared" si="191"/>
        <v>4989990</v>
      </c>
      <c r="C2495" s="60">
        <f t="shared" si="194"/>
        <v>4989990</v>
      </c>
      <c r="D2495" s="61">
        <f t="shared" si="190"/>
        <v>1</v>
      </c>
      <c r="E2495" s="64">
        <f t="shared" si="192"/>
        <v>498.99899799498598</v>
      </c>
      <c r="F2495" s="62" t="str">
        <f t="shared" si="193"/>
        <v/>
      </c>
    </row>
    <row r="2496" spans="1:6">
      <c r="A2496" s="60">
        <v>249100</v>
      </c>
      <c r="B2496" s="60">
        <f t="shared" si="191"/>
        <v>4990992</v>
      </c>
      <c r="C2496" s="60">
        <f t="shared" si="194"/>
        <v>4990992</v>
      </c>
      <c r="D2496" s="61">
        <f t="shared" si="190"/>
        <v>1</v>
      </c>
      <c r="E2496" s="64">
        <f t="shared" si="192"/>
        <v>499.09918853871119</v>
      </c>
      <c r="F2496" s="62" t="str">
        <f t="shared" si="193"/>
        <v/>
      </c>
    </row>
    <row r="2497" spans="1:6">
      <c r="A2497" s="60">
        <v>249200</v>
      </c>
      <c r="B2497" s="60">
        <f t="shared" si="191"/>
        <v>4991994</v>
      </c>
      <c r="C2497" s="60">
        <f t="shared" si="194"/>
        <v>4991994</v>
      </c>
      <c r="D2497" s="61">
        <f t="shared" si="190"/>
        <v>1</v>
      </c>
      <c r="E2497" s="64">
        <f t="shared" si="192"/>
        <v>499.19935897394743</v>
      </c>
      <c r="F2497" s="62" t="str">
        <f t="shared" si="193"/>
        <v/>
      </c>
    </row>
    <row r="2498" spans="1:6">
      <c r="A2498" s="60">
        <v>249300</v>
      </c>
      <c r="B2498" s="60">
        <f t="shared" si="191"/>
        <v>4992995</v>
      </c>
      <c r="C2498" s="60">
        <f t="shared" si="194"/>
        <v>4992995</v>
      </c>
      <c r="D2498" s="61">
        <f t="shared" si="190"/>
        <v>1</v>
      </c>
      <c r="E2498" s="64">
        <f t="shared" si="192"/>
        <v>499.29950931279717</v>
      </c>
      <c r="F2498" s="62" t="str">
        <f t="shared" si="193"/>
        <v/>
      </c>
    </row>
    <row r="2499" spans="1:6">
      <c r="A2499" s="60">
        <v>249400</v>
      </c>
      <c r="B2499" s="60">
        <f t="shared" si="191"/>
        <v>4993996</v>
      </c>
      <c r="C2499" s="60">
        <f t="shared" si="194"/>
        <v>4993996</v>
      </c>
      <c r="D2499" s="61">
        <f t="shared" si="190"/>
        <v>1</v>
      </c>
      <c r="E2499" s="64">
        <f t="shared" si="192"/>
        <v>499.3996395673509</v>
      </c>
      <c r="F2499" s="62" t="str">
        <f t="shared" si="193"/>
        <v/>
      </c>
    </row>
    <row r="2500" spans="1:6">
      <c r="A2500" s="60">
        <v>249500</v>
      </c>
      <c r="B2500" s="60">
        <f t="shared" si="191"/>
        <v>4994997</v>
      </c>
      <c r="C2500" s="60">
        <f t="shared" si="194"/>
        <v>4994997</v>
      </c>
      <c r="D2500" s="61">
        <f t="shared" si="190"/>
        <v>1</v>
      </c>
      <c r="E2500" s="64">
        <f t="shared" si="192"/>
        <v>499.49974974968706</v>
      </c>
      <c r="F2500" s="62" t="str">
        <f t="shared" si="193"/>
        <v/>
      </c>
    </row>
    <row r="2501" spans="1:6">
      <c r="A2501" s="60">
        <v>249600</v>
      </c>
      <c r="B2501" s="60">
        <f t="shared" si="191"/>
        <v>4995998</v>
      </c>
      <c r="C2501" s="60">
        <f t="shared" si="194"/>
        <v>4995998</v>
      </c>
      <c r="D2501" s="61">
        <f t="shared" ref="D2501:D2564" si="195">(A2501-INDEX(兵力区间,MATCH(A2501,兵力区间,1)))/(INDEX(兵力区间,MATCH(A2501,兵力区间,1)+1)-INDEX(兵力区间,MATCH(A2501,兵力区间,1)))*((INDEX(兵力调节,MATCH(A2501,兵力区间,1)+1,2)-INDEX(兵力调节,MATCH(A2501,兵力区间,1),2)))+INDEX(兵力调节,MATCH(A2501,兵力区间,1),2)</f>
        <v>1</v>
      </c>
      <c r="E2501" s="64">
        <f t="shared" si="192"/>
        <v>499.59983987187184</v>
      </c>
      <c r="F2501" s="62" t="str">
        <f t="shared" si="193"/>
        <v/>
      </c>
    </row>
    <row r="2502" spans="1:6">
      <c r="A2502" s="60">
        <v>249700</v>
      </c>
      <c r="B2502" s="60">
        <f t="shared" si="191"/>
        <v>4996999</v>
      </c>
      <c r="C2502" s="60">
        <f t="shared" si="194"/>
        <v>4996999</v>
      </c>
      <c r="D2502" s="61">
        <f t="shared" si="195"/>
        <v>1</v>
      </c>
      <c r="E2502" s="64">
        <f t="shared" si="192"/>
        <v>499.69990994595946</v>
      </c>
      <c r="F2502" s="62" t="str">
        <f t="shared" si="193"/>
        <v/>
      </c>
    </row>
    <row r="2503" spans="1:6">
      <c r="A2503" s="60">
        <v>249800</v>
      </c>
      <c r="B2503" s="60">
        <f t="shared" ref="B2503:B2566" si="196">ROUND(D2503*E2503*10000,0)</f>
        <v>4998000</v>
      </c>
      <c r="C2503" s="60">
        <f t="shared" si="194"/>
        <v>4998000</v>
      </c>
      <c r="D2503" s="61">
        <f t="shared" si="195"/>
        <v>1</v>
      </c>
      <c r="E2503" s="64">
        <f t="shared" ref="E2503:E2566" si="197">A2503^0.5</f>
        <v>499.79995998399198</v>
      </c>
      <c r="F2503" s="62" t="str">
        <f t="shared" si="193"/>
        <v/>
      </c>
    </row>
    <row r="2504" spans="1:6">
      <c r="A2504" s="60">
        <v>249900</v>
      </c>
      <c r="B2504" s="60">
        <f t="shared" si="196"/>
        <v>4999000</v>
      </c>
      <c r="C2504" s="60">
        <f t="shared" si="194"/>
        <v>4999000</v>
      </c>
      <c r="D2504" s="61">
        <f t="shared" si="195"/>
        <v>1</v>
      </c>
      <c r="E2504" s="64">
        <f t="shared" si="197"/>
        <v>499.89998999799951</v>
      </c>
      <c r="F2504" s="62" t="str">
        <f t="shared" ref="F2504:F2567" si="198">IF(B2504&lt;B2503,1,"")</f>
        <v/>
      </c>
    </row>
    <row r="2505" spans="1:6">
      <c r="A2505" s="60">
        <v>250000</v>
      </c>
      <c r="B2505" s="60">
        <f t="shared" si="196"/>
        <v>5000000</v>
      </c>
      <c r="C2505" s="60">
        <f t="shared" si="194"/>
        <v>5000000</v>
      </c>
      <c r="D2505" s="61">
        <f t="shared" si="195"/>
        <v>1</v>
      </c>
      <c r="E2505" s="64">
        <f t="shared" si="197"/>
        <v>500</v>
      </c>
      <c r="F2505" s="62" t="str">
        <f t="shared" si="198"/>
        <v/>
      </c>
    </row>
    <row r="2506" spans="1:6">
      <c r="A2506" s="60">
        <v>250100</v>
      </c>
      <c r="B2506" s="60">
        <f t="shared" si="196"/>
        <v>5001000</v>
      </c>
      <c r="C2506" s="60">
        <f t="shared" si="194"/>
        <v>5001000</v>
      </c>
      <c r="D2506" s="61">
        <f t="shared" si="195"/>
        <v>1</v>
      </c>
      <c r="E2506" s="64">
        <f t="shared" si="197"/>
        <v>500.09999000199952</v>
      </c>
      <c r="F2506" s="62" t="str">
        <f t="shared" si="198"/>
        <v/>
      </c>
    </row>
    <row r="2507" spans="1:6">
      <c r="A2507" s="60">
        <v>250200</v>
      </c>
      <c r="B2507" s="60">
        <f t="shared" si="196"/>
        <v>5002000</v>
      </c>
      <c r="C2507" s="60">
        <f t="shared" ref="C2507:C2570" si="199">ROUND(D2507*E2507*10000,0)</f>
        <v>5002000</v>
      </c>
      <c r="D2507" s="61">
        <f t="shared" si="195"/>
        <v>1</v>
      </c>
      <c r="E2507" s="64">
        <f t="shared" si="197"/>
        <v>500.19996001599202</v>
      </c>
      <c r="F2507" s="62" t="str">
        <f t="shared" si="198"/>
        <v/>
      </c>
    </row>
    <row r="2508" spans="1:6">
      <c r="A2508" s="60">
        <v>250300</v>
      </c>
      <c r="B2508" s="60">
        <f t="shared" si="196"/>
        <v>5002999</v>
      </c>
      <c r="C2508" s="60">
        <f t="shared" si="199"/>
        <v>5002999</v>
      </c>
      <c r="D2508" s="61">
        <f t="shared" si="195"/>
        <v>1</v>
      </c>
      <c r="E2508" s="64">
        <f t="shared" si="197"/>
        <v>500.29991005395954</v>
      </c>
      <c r="F2508" s="62" t="str">
        <f t="shared" si="198"/>
        <v/>
      </c>
    </row>
    <row r="2509" spans="1:6">
      <c r="A2509" s="60">
        <v>250400</v>
      </c>
      <c r="B2509" s="60">
        <f t="shared" si="196"/>
        <v>5003998</v>
      </c>
      <c r="C2509" s="60">
        <f t="shared" si="199"/>
        <v>5003998</v>
      </c>
      <c r="D2509" s="61">
        <f t="shared" si="195"/>
        <v>1</v>
      </c>
      <c r="E2509" s="64">
        <f t="shared" si="197"/>
        <v>500.39984012787215</v>
      </c>
      <c r="F2509" s="62" t="str">
        <f t="shared" si="198"/>
        <v/>
      </c>
    </row>
    <row r="2510" spans="1:6">
      <c r="A2510" s="60">
        <v>250500</v>
      </c>
      <c r="B2510" s="60">
        <f t="shared" si="196"/>
        <v>5004998</v>
      </c>
      <c r="C2510" s="60">
        <f t="shared" si="199"/>
        <v>5004998</v>
      </c>
      <c r="D2510" s="61">
        <f t="shared" si="195"/>
        <v>1</v>
      </c>
      <c r="E2510" s="64">
        <f t="shared" si="197"/>
        <v>500.49975024968796</v>
      </c>
      <c r="F2510" s="62" t="str">
        <f t="shared" si="198"/>
        <v/>
      </c>
    </row>
    <row r="2511" spans="1:6">
      <c r="A2511" s="60">
        <v>250600</v>
      </c>
      <c r="B2511" s="60">
        <f t="shared" si="196"/>
        <v>5005996</v>
      </c>
      <c r="C2511" s="60">
        <f t="shared" si="199"/>
        <v>5005996</v>
      </c>
      <c r="D2511" s="61">
        <f t="shared" si="195"/>
        <v>1</v>
      </c>
      <c r="E2511" s="64">
        <f t="shared" si="197"/>
        <v>500.59964043135307</v>
      </c>
      <c r="F2511" s="62" t="str">
        <f t="shared" si="198"/>
        <v/>
      </c>
    </row>
    <row r="2512" spans="1:6">
      <c r="A2512" s="60">
        <v>250700</v>
      </c>
      <c r="B2512" s="60">
        <f t="shared" si="196"/>
        <v>5006995</v>
      </c>
      <c r="C2512" s="60">
        <f t="shared" si="199"/>
        <v>5006995</v>
      </c>
      <c r="D2512" s="61">
        <f t="shared" si="195"/>
        <v>1</v>
      </c>
      <c r="E2512" s="64">
        <f t="shared" si="197"/>
        <v>500.69951068480185</v>
      </c>
      <c r="F2512" s="62" t="str">
        <f t="shared" si="198"/>
        <v/>
      </c>
    </row>
    <row r="2513" spans="1:6">
      <c r="A2513" s="60">
        <v>250800</v>
      </c>
      <c r="B2513" s="60">
        <f t="shared" si="196"/>
        <v>5007994</v>
      </c>
      <c r="C2513" s="60">
        <f t="shared" si="199"/>
        <v>5007994</v>
      </c>
      <c r="D2513" s="61">
        <f t="shared" si="195"/>
        <v>1</v>
      </c>
      <c r="E2513" s="64">
        <f t="shared" si="197"/>
        <v>500.7993610219566</v>
      </c>
      <c r="F2513" s="62" t="str">
        <f t="shared" si="198"/>
        <v/>
      </c>
    </row>
    <row r="2514" spans="1:6">
      <c r="A2514" s="60">
        <v>250900</v>
      </c>
      <c r="B2514" s="60">
        <f t="shared" si="196"/>
        <v>5008992</v>
      </c>
      <c r="C2514" s="60">
        <f t="shared" si="199"/>
        <v>5008992</v>
      </c>
      <c r="D2514" s="61">
        <f t="shared" si="195"/>
        <v>1</v>
      </c>
      <c r="E2514" s="64">
        <f t="shared" si="197"/>
        <v>500.89919145472777</v>
      </c>
      <c r="F2514" s="62" t="str">
        <f t="shared" si="198"/>
        <v/>
      </c>
    </row>
    <row r="2515" spans="1:6">
      <c r="A2515" s="60">
        <v>251000</v>
      </c>
      <c r="B2515" s="60">
        <f t="shared" si="196"/>
        <v>5009990</v>
      </c>
      <c r="C2515" s="60">
        <f t="shared" si="199"/>
        <v>5009990</v>
      </c>
      <c r="D2515" s="61">
        <f t="shared" si="195"/>
        <v>1</v>
      </c>
      <c r="E2515" s="64">
        <f t="shared" si="197"/>
        <v>500.99900199501394</v>
      </c>
      <c r="F2515" s="62" t="str">
        <f t="shared" si="198"/>
        <v/>
      </c>
    </row>
    <row r="2516" spans="1:6">
      <c r="A2516" s="60">
        <v>251100</v>
      </c>
      <c r="B2516" s="60">
        <f t="shared" si="196"/>
        <v>5010988</v>
      </c>
      <c r="C2516" s="60">
        <f t="shared" si="199"/>
        <v>5010988</v>
      </c>
      <c r="D2516" s="61">
        <f t="shared" si="195"/>
        <v>1</v>
      </c>
      <c r="E2516" s="64">
        <f t="shared" si="197"/>
        <v>501.09879265470198</v>
      </c>
      <c r="F2516" s="62" t="str">
        <f t="shared" si="198"/>
        <v/>
      </c>
    </row>
    <row r="2517" spans="1:6">
      <c r="A2517" s="60">
        <v>251200</v>
      </c>
      <c r="B2517" s="60">
        <f t="shared" si="196"/>
        <v>5011986</v>
      </c>
      <c r="C2517" s="60">
        <f t="shared" si="199"/>
        <v>5011986</v>
      </c>
      <c r="D2517" s="61">
        <f t="shared" si="195"/>
        <v>1</v>
      </c>
      <c r="E2517" s="64">
        <f t="shared" si="197"/>
        <v>501.19856344566671</v>
      </c>
      <c r="F2517" s="62" t="str">
        <f t="shared" si="198"/>
        <v/>
      </c>
    </row>
    <row r="2518" spans="1:6">
      <c r="A2518" s="60">
        <v>251300</v>
      </c>
      <c r="B2518" s="60">
        <f t="shared" si="196"/>
        <v>5012983</v>
      </c>
      <c r="C2518" s="60">
        <f t="shared" si="199"/>
        <v>5012983</v>
      </c>
      <c r="D2518" s="61">
        <f t="shared" si="195"/>
        <v>1</v>
      </c>
      <c r="E2518" s="64">
        <f t="shared" si="197"/>
        <v>501.29831437977128</v>
      </c>
      <c r="F2518" s="62" t="str">
        <f t="shared" si="198"/>
        <v/>
      </c>
    </row>
    <row r="2519" spans="1:6">
      <c r="A2519" s="60">
        <v>251400</v>
      </c>
      <c r="B2519" s="60">
        <f t="shared" si="196"/>
        <v>5013980</v>
      </c>
      <c r="C2519" s="60">
        <f t="shared" si="199"/>
        <v>5013980</v>
      </c>
      <c r="D2519" s="61">
        <f t="shared" si="195"/>
        <v>1</v>
      </c>
      <c r="E2519" s="64">
        <f t="shared" si="197"/>
        <v>501.398045468867</v>
      </c>
      <c r="F2519" s="62" t="str">
        <f t="shared" si="198"/>
        <v/>
      </c>
    </row>
    <row r="2520" spans="1:6">
      <c r="A2520" s="60">
        <v>251500</v>
      </c>
      <c r="B2520" s="60">
        <f t="shared" si="196"/>
        <v>5014978</v>
      </c>
      <c r="C2520" s="60">
        <f t="shared" si="199"/>
        <v>5014978</v>
      </c>
      <c r="D2520" s="61">
        <f t="shared" si="195"/>
        <v>1</v>
      </c>
      <c r="E2520" s="64">
        <f t="shared" si="197"/>
        <v>501.49775672479336</v>
      </c>
      <c r="F2520" s="62" t="str">
        <f t="shared" si="198"/>
        <v/>
      </c>
    </row>
    <row r="2521" spans="1:6">
      <c r="A2521" s="60">
        <v>251600</v>
      </c>
      <c r="B2521" s="60">
        <f t="shared" si="196"/>
        <v>5015974</v>
      </c>
      <c r="C2521" s="60">
        <f t="shared" si="199"/>
        <v>5015974</v>
      </c>
      <c r="D2521" s="61">
        <f t="shared" si="195"/>
        <v>1</v>
      </c>
      <c r="E2521" s="64">
        <f t="shared" si="197"/>
        <v>501.59744815937808</v>
      </c>
      <c r="F2521" s="62" t="str">
        <f t="shared" si="198"/>
        <v/>
      </c>
    </row>
    <row r="2522" spans="1:6">
      <c r="A2522" s="60">
        <v>251700</v>
      </c>
      <c r="B2522" s="60">
        <f t="shared" si="196"/>
        <v>5016971</v>
      </c>
      <c r="C2522" s="60">
        <f t="shared" si="199"/>
        <v>5016971</v>
      </c>
      <c r="D2522" s="61">
        <f t="shared" si="195"/>
        <v>1</v>
      </c>
      <c r="E2522" s="64">
        <f t="shared" si="197"/>
        <v>501.69711978443729</v>
      </c>
      <c r="F2522" s="62" t="str">
        <f t="shared" si="198"/>
        <v/>
      </c>
    </row>
    <row r="2523" spans="1:6">
      <c r="A2523" s="60">
        <v>251800</v>
      </c>
      <c r="B2523" s="60">
        <f t="shared" si="196"/>
        <v>5017968</v>
      </c>
      <c r="C2523" s="60">
        <f t="shared" si="199"/>
        <v>5017968</v>
      </c>
      <c r="D2523" s="61">
        <f t="shared" si="195"/>
        <v>1</v>
      </c>
      <c r="E2523" s="64">
        <f t="shared" si="197"/>
        <v>501.79677161177511</v>
      </c>
      <c r="F2523" s="62" t="str">
        <f t="shared" si="198"/>
        <v/>
      </c>
    </row>
    <row r="2524" spans="1:6">
      <c r="A2524" s="60">
        <v>251900</v>
      </c>
      <c r="B2524" s="60">
        <f t="shared" si="196"/>
        <v>5018964</v>
      </c>
      <c r="C2524" s="60">
        <f t="shared" si="199"/>
        <v>5018964</v>
      </c>
      <c r="D2524" s="61">
        <f t="shared" si="195"/>
        <v>1</v>
      </c>
      <c r="E2524" s="64">
        <f t="shared" si="197"/>
        <v>501.89640365318417</v>
      </c>
      <c r="F2524" s="62" t="str">
        <f t="shared" si="198"/>
        <v/>
      </c>
    </row>
    <row r="2525" spans="1:6">
      <c r="A2525" s="60">
        <v>252000</v>
      </c>
      <c r="B2525" s="60">
        <f t="shared" si="196"/>
        <v>5019960</v>
      </c>
      <c r="C2525" s="60">
        <f t="shared" si="199"/>
        <v>5019960</v>
      </c>
      <c r="D2525" s="61">
        <f t="shared" si="195"/>
        <v>1</v>
      </c>
      <c r="E2525" s="64">
        <f t="shared" si="197"/>
        <v>501.9960159204453</v>
      </c>
      <c r="F2525" s="62" t="str">
        <f t="shared" si="198"/>
        <v/>
      </c>
    </row>
    <row r="2526" spans="1:6">
      <c r="A2526" s="60">
        <v>252100</v>
      </c>
      <c r="B2526" s="60">
        <f t="shared" si="196"/>
        <v>5020956</v>
      </c>
      <c r="C2526" s="60">
        <f t="shared" si="199"/>
        <v>5020956</v>
      </c>
      <c r="D2526" s="61">
        <f t="shared" si="195"/>
        <v>1</v>
      </c>
      <c r="E2526" s="64">
        <f t="shared" si="197"/>
        <v>502.09560842532767</v>
      </c>
      <c r="F2526" s="62" t="str">
        <f t="shared" si="198"/>
        <v/>
      </c>
    </row>
    <row r="2527" spans="1:6">
      <c r="A2527" s="60">
        <v>252200</v>
      </c>
      <c r="B2527" s="60">
        <f t="shared" si="196"/>
        <v>5021952</v>
      </c>
      <c r="C2527" s="60">
        <f t="shared" si="199"/>
        <v>5021952</v>
      </c>
      <c r="D2527" s="61">
        <f t="shared" si="195"/>
        <v>1</v>
      </c>
      <c r="E2527" s="64">
        <f t="shared" si="197"/>
        <v>502.19518117958876</v>
      </c>
      <c r="F2527" s="62" t="str">
        <f t="shared" si="198"/>
        <v/>
      </c>
    </row>
    <row r="2528" spans="1:6">
      <c r="A2528" s="60">
        <v>252300</v>
      </c>
      <c r="B2528" s="60">
        <f t="shared" si="196"/>
        <v>5022947</v>
      </c>
      <c r="C2528" s="60">
        <f t="shared" si="199"/>
        <v>5022947</v>
      </c>
      <c r="D2528" s="61">
        <f t="shared" si="195"/>
        <v>1</v>
      </c>
      <c r="E2528" s="64">
        <f t="shared" si="197"/>
        <v>502.29473419497441</v>
      </c>
      <c r="F2528" s="62" t="str">
        <f t="shared" si="198"/>
        <v/>
      </c>
    </row>
    <row r="2529" spans="1:6">
      <c r="A2529" s="60">
        <v>252400</v>
      </c>
      <c r="B2529" s="60">
        <f t="shared" si="196"/>
        <v>5023943</v>
      </c>
      <c r="C2529" s="60">
        <f t="shared" si="199"/>
        <v>5023943</v>
      </c>
      <c r="D2529" s="61">
        <f t="shared" si="195"/>
        <v>1</v>
      </c>
      <c r="E2529" s="64">
        <f t="shared" si="197"/>
        <v>502.39426748321881</v>
      </c>
      <c r="F2529" s="62" t="str">
        <f t="shared" si="198"/>
        <v/>
      </c>
    </row>
    <row r="2530" spans="1:6">
      <c r="A2530" s="60">
        <v>252500</v>
      </c>
      <c r="B2530" s="60">
        <f t="shared" si="196"/>
        <v>5024938</v>
      </c>
      <c r="C2530" s="60">
        <f t="shared" si="199"/>
        <v>5024938</v>
      </c>
      <c r="D2530" s="61">
        <f t="shared" si="195"/>
        <v>1</v>
      </c>
      <c r="E2530" s="64">
        <f t="shared" si="197"/>
        <v>502.4937810560445</v>
      </c>
      <c r="F2530" s="62" t="str">
        <f t="shared" si="198"/>
        <v/>
      </c>
    </row>
    <row r="2531" spans="1:6">
      <c r="A2531" s="60">
        <v>252600</v>
      </c>
      <c r="B2531" s="60">
        <f t="shared" si="196"/>
        <v>5025933</v>
      </c>
      <c r="C2531" s="60">
        <f t="shared" si="199"/>
        <v>5025933</v>
      </c>
      <c r="D2531" s="61">
        <f t="shared" si="195"/>
        <v>1</v>
      </c>
      <c r="E2531" s="64">
        <f t="shared" si="197"/>
        <v>502.59327492516252</v>
      </c>
      <c r="F2531" s="62" t="str">
        <f t="shared" si="198"/>
        <v/>
      </c>
    </row>
    <row r="2532" spans="1:6">
      <c r="A2532" s="60">
        <v>252700</v>
      </c>
      <c r="B2532" s="60">
        <f t="shared" si="196"/>
        <v>5026927</v>
      </c>
      <c r="C2532" s="60">
        <f t="shared" si="199"/>
        <v>5026927</v>
      </c>
      <c r="D2532" s="61">
        <f t="shared" si="195"/>
        <v>1</v>
      </c>
      <c r="E2532" s="64">
        <f t="shared" si="197"/>
        <v>502.69274910227222</v>
      </c>
      <c r="F2532" s="62" t="str">
        <f t="shared" si="198"/>
        <v/>
      </c>
    </row>
    <row r="2533" spans="1:6">
      <c r="A2533" s="60">
        <v>252800</v>
      </c>
      <c r="B2533" s="60">
        <f t="shared" si="196"/>
        <v>5027922</v>
      </c>
      <c r="C2533" s="60">
        <f t="shared" si="199"/>
        <v>5027922</v>
      </c>
      <c r="D2533" s="61">
        <f t="shared" si="195"/>
        <v>1</v>
      </c>
      <c r="E2533" s="64">
        <f t="shared" si="197"/>
        <v>502.79220359906139</v>
      </c>
      <c r="F2533" s="62" t="str">
        <f t="shared" si="198"/>
        <v/>
      </c>
    </row>
    <row r="2534" spans="1:6">
      <c r="A2534" s="60">
        <v>252900</v>
      </c>
      <c r="B2534" s="60">
        <f t="shared" si="196"/>
        <v>5028916</v>
      </c>
      <c r="C2534" s="60">
        <f t="shared" si="199"/>
        <v>5028916</v>
      </c>
      <c r="D2534" s="61">
        <f t="shared" si="195"/>
        <v>1</v>
      </c>
      <c r="E2534" s="64">
        <f t="shared" si="197"/>
        <v>502.89163842720632</v>
      </c>
      <c r="F2534" s="62" t="str">
        <f t="shared" si="198"/>
        <v/>
      </c>
    </row>
    <row r="2535" spans="1:6">
      <c r="A2535" s="60">
        <v>253000</v>
      </c>
      <c r="B2535" s="60">
        <f t="shared" si="196"/>
        <v>5029911</v>
      </c>
      <c r="C2535" s="60">
        <f t="shared" si="199"/>
        <v>5029911</v>
      </c>
      <c r="D2535" s="61">
        <f t="shared" si="195"/>
        <v>1</v>
      </c>
      <c r="E2535" s="64">
        <f t="shared" si="197"/>
        <v>502.99105359837165</v>
      </c>
      <c r="F2535" s="62" t="str">
        <f t="shared" si="198"/>
        <v/>
      </c>
    </row>
    <row r="2536" spans="1:6">
      <c r="A2536" s="60">
        <v>253100</v>
      </c>
      <c r="B2536" s="60">
        <f t="shared" si="196"/>
        <v>5030904</v>
      </c>
      <c r="C2536" s="60">
        <f t="shared" si="199"/>
        <v>5030904</v>
      </c>
      <c r="D2536" s="61">
        <f t="shared" si="195"/>
        <v>1</v>
      </c>
      <c r="E2536" s="64">
        <f t="shared" si="197"/>
        <v>503.09044912421069</v>
      </c>
      <c r="F2536" s="62" t="str">
        <f t="shared" si="198"/>
        <v/>
      </c>
    </row>
    <row r="2537" spans="1:6">
      <c r="A2537" s="60">
        <v>253200</v>
      </c>
      <c r="B2537" s="60">
        <f t="shared" si="196"/>
        <v>5031898</v>
      </c>
      <c r="C2537" s="60">
        <f t="shared" si="199"/>
        <v>5031898</v>
      </c>
      <c r="D2537" s="61">
        <f t="shared" si="195"/>
        <v>1</v>
      </c>
      <c r="E2537" s="64">
        <f t="shared" si="197"/>
        <v>503.18982501636498</v>
      </c>
      <c r="F2537" s="62" t="str">
        <f t="shared" si="198"/>
        <v/>
      </c>
    </row>
    <row r="2538" spans="1:6">
      <c r="A2538" s="60">
        <v>253300</v>
      </c>
      <c r="B2538" s="60">
        <f t="shared" si="196"/>
        <v>5032892</v>
      </c>
      <c r="C2538" s="60">
        <f t="shared" si="199"/>
        <v>5032892</v>
      </c>
      <c r="D2538" s="61">
        <f t="shared" si="195"/>
        <v>1</v>
      </c>
      <c r="E2538" s="64">
        <f t="shared" si="197"/>
        <v>503.28918128646478</v>
      </c>
      <c r="F2538" s="62" t="str">
        <f t="shared" si="198"/>
        <v/>
      </c>
    </row>
    <row r="2539" spans="1:6">
      <c r="A2539" s="60">
        <v>253400</v>
      </c>
      <c r="B2539" s="60">
        <f t="shared" si="196"/>
        <v>5033885</v>
      </c>
      <c r="C2539" s="60">
        <f t="shared" si="199"/>
        <v>5033885</v>
      </c>
      <c r="D2539" s="61">
        <f t="shared" si="195"/>
        <v>1</v>
      </c>
      <c r="E2539" s="64">
        <f t="shared" si="197"/>
        <v>503.38851794612879</v>
      </c>
      <c r="F2539" s="62" t="str">
        <f t="shared" si="198"/>
        <v/>
      </c>
    </row>
    <row r="2540" spans="1:6">
      <c r="A2540" s="60">
        <v>253500</v>
      </c>
      <c r="B2540" s="60">
        <f t="shared" si="196"/>
        <v>5034878</v>
      </c>
      <c r="C2540" s="60">
        <f t="shared" si="199"/>
        <v>5034878</v>
      </c>
      <c r="D2540" s="61">
        <f t="shared" si="195"/>
        <v>1</v>
      </c>
      <c r="E2540" s="64">
        <f t="shared" si="197"/>
        <v>503.48783500696419</v>
      </c>
      <c r="F2540" s="62" t="str">
        <f t="shared" si="198"/>
        <v/>
      </c>
    </row>
    <row r="2541" spans="1:6">
      <c r="A2541" s="60">
        <v>253600</v>
      </c>
      <c r="B2541" s="60">
        <f t="shared" si="196"/>
        <v>5035871</v>
      </c>
      <c r="C2541" s="60">
        <f t="shared" si="199"/>
        <v>5035871</v>
      </c>
      <c r="D2541" s="61">
        <f t="shared" si="195"/>
        <v>1</v>
      </c>
      <c r="E2541" s="64">
        <f t="shared" si="197"/>
        <v>503.58713248056688</v>
      </c>
      <c r="F2541" s="62" t="str">
        <f t="shared" si="198"/>
        <v/>
      </c>
    </row>
    <row r="2542" spans="1:6">
      <c r="A2542" s="60">
        <v>253700</v>
      </c>
      <c r="B2542" s="60">
        <f t="shared" si="196"/>
        <v>5036864</v>
      </c>
      <c r="C2542" s="60">
        <f t="shared" si="199"/>
        <v>5036864</v>
      </c>
      <c r="D2542" s="61">
        <f t="shared" si="195"/>
        <v>1</v>
      </c>
      <c r="E2542" s="64">
        <f t="shared" si="197"/>
        <v>503.68641037852115</v>
      </c>
      <c r="F2542" s="62" t="str">
        <f t="shared" si="198"/>
        <v/>
      </c>
    </row>
    <row r="2543" spans="1:6">
      <c r="A2543" s="60">
        <v>253800</v>
      </c>
      <c r="B2543" s="60">
        <f t="shared" si="196"/>
        <v>5037857</v>
      </c>
      <c r="C2543" s="60">
        <f t="shared" si="199"/>
        <v>5037857</v>
      </c>
      <c r="D2543" s="61">
        <f t="shared" si="195"/>
        <v>1</v>
      </c>
      <c r="E2543" s="64">
        <f t="shared" si="197"/>
        <v>503.78566871239997</v>
      </c>
      <c r="F2543" s="62" t="str">
        <f t="shared" si="198"/>
        <v/>
      </c>
    </row>
    <row r="2544" spans="1:6">
      <c r="A2544" s="60">
        <v>253900</v>
      </c>
      <c r="B2544" s="60">
        <f t="shared" si="196"/>
        <v>5038849</v>
      </c>
      <c r="C2544" s="60">
        <f t="shared" si="199"/>
        <v>5038849</v>
      </c>
      <c r="D2544" s="61">
        <f t="shared" si="195"/>
        <v>1</v>
      </c>
      <c r="E2544" s="64">
        <f t="shared" si="197"/>
        <v>503.8849074937649</v>
      </c>
      <c r="F2544" s="62" t="str">
        <f t="shared" si="198"/>
        <v/>
      </c>
    </row>
    <row r="2545" spans="1:6">
      <c r="A2545" s="60">
        <v>254000</v>
      </c>
      <c r="B2545" s="60">
        <f t="shared" si="196"/>
        <v>5039841</v>
      </c>
      <c r="C2545" s="60">
        <f t="shared" si="199"/>
        <v>5039841</v>
      </c>
      <c r="D2545" s="61">
        <f t="shared" si="195"/>
        <v>1</v>
      </c>
      <c r="E2545" s="64">
        <f t="shared" si="197"/>
        <v>503.98412673416613</v>
      </c>
      <c r="F2545" s="62" t="str">
        <f t="shared" si="198"/>
        <v/>
      </c>
    </row>
    <row r="2546" spans="1:6">
      <c r="A2546" s="60">
        <v>254100</v>
      </c>
      <c r="B2546" s="60">
        <f t="shared" si="196"/>
        <v>5040833</v>
      </c>
      <c r="C2546" s="60">
        <f t="shared" si="199"/>
        <v>5040833</v>
      </c>
      <c r="D2546" s="61">
        <f t="shared" si="195"/>
        <v>1</v>
      </c>
      <c r="E2546" s="64">
        <f t="shared" si="197"/>
        <v>504.0833264451424</v>
      </c>
      <c r="F2546" s="62" t="str">
        <f t="shared" si="198"/>
        <v/>
      </c>
    </row>
    <row r="2547" spans="1:6">
      <c r="A2547" s="60">
        <v>254200</v>
      </c>
      <c r="B2547" s="60">
        <f t="shared" si="196"/>
        <v>5041825</v>
      </c>
      <c r="C2547" s="60">
        <f t="shared" si="199"/>
        <v>5041825</v>
      </c>
      <c r="D2547" s="61">
        <f t="shared" si="195"/>
        <v>1</v>
      </c>
      <c r="E2547" s="64">
        <f t="shared" si="197"/>
        <v>504.18250663822124</v>
      </c>
      <c r="F2547" s="62" t="str">
        <f t="shared" si="198"/>
        <v/>
      </c>
    </row>
    <row r="2548" spans="1:6">
      <c r="A2548" s="60">
        <v>254300</v>
      </c>
      <c r="B2548" s="60">
        <f t="shared" si="196"/>
        <v>5042817</v>
      </c>
      <c r="C2548" s="60">
        <f t="shared" si="199"/>
        <v>5042817</v>
      </c>
      <c r="D2548" s="61">
        <f t="shared" si="195"/>
        <v>1</v>
      </c>
      <c r="E2548" s="64">
        <f t="shared" si="197"/>
        <v>504.28166732491871</v>
      </c>
      <c r="F2548" s="62" t="str">
        <f t="shared" si="198"/>
        <v/>
      </c>
    </row>
    <row r="2549" spans="1:6">
      <c r="A2549" s="60">
        <v>254400</v>
      </c>
      <c r="B2549" s="60">
        <f t="shared" si="196"/>
        <v>5043808</v>
      </c>
      <c r="C2549" s="60">
        <f t="shared" si="199"/>
        <v>5043808</v>
      </c>
      <c r="D2549" s="61">
        <f t="shared" si="195"/>
        <v>1</v>
      </c>
      <c r="E2549" s="64">
        <f t="shared" si="197"/>
        <v>504.38080851673965</v>
      </c>
      <c r="F2549" s="62" t="str">
        <f t="shared" si="198"/>
        <v/>
      </c>
    </row>
    <row r="2550" spans="1:6">
      <c r="A2550" s="60">
        <v>254500</v>
      </c>
      <c r="B2550" s="60">
        <f t="shared" si="196"/>
        <v>5044799</v>
      </c>
      <c r="C2550" s="60">
        <f t="shared" si="199"/>
        <v>5044799</v>
      </c>
      <c r="D2550" s="61">
        <f t="shared" si="195"/>
        <v>1</v>
      </c>
      <c r="E2550" s="64">
        <f t="shared" si="197"/>
        <v>504.47993022517755</v>
      </c>
      <c r="F2550" s="62" t="str">
        <f t="shared" si="198"/>
        <v/>
      </c>
    </row>
    <row r="2551" spans="1:6">
      <c r="A2551" s="60">
        <v>254600</v>
      </c>
      <c r="B2551" s="60">
        <f t="shared" si="196"/>
        <v>5045790</v>
      </c>
      <c r="C2551" s="60">
        <f t="shared" si="199"/>
        <v>5045790</v>
      </c>
      <c r="D2551" s="61">
        <f t="shared" si="195"/>
        <v>1</v>
      </c>
      <c r="E2551" s="64">
        <f t="shared" si="197"/>
        <v>504.57903246171458</v>
      </c>
      <c r="F2551" s="62" t="str">
        <f t="shared" si="198"/>
        <v/>
      </c>
    </row>
    <row r="2552" spans="1:6">
      <c r="A2552" s="60">
        <v>254700</v>
      </c>
      <c r="B2552" s="60">
        <f t="shared" si="196"/>
        <v>5046781</v>
      </c>
      <c r="C2552" s="60">
        <f t="shared" si="199"/>
        <v>5046781</v>
      </c>
      <c r="D2552" s="61">
        <f t="shared" si="195"/>
        <v>1</v>
      </c>
      <c r="E2552" s="64">
        <f t="shared" si="197"/>
        <v>504.67811523782166</v>
      </c>
      <c r="F2552" s="62" t="str">
        <f t="shared" si="198"/>
        <v/>
      </c>
    </row>
    <row r="2553" spans="1:6">
      <c r="A2553" s="60">
        <v>254800</v>
      </c>
      <c r="B2553" s="60">
        <f t="shared" si="196"/>
        <v>5047772</v>
      </c>
      <c r="C2553" s="60">
        <f t="shared" si="199"/>
        <v>5047772</v>
      </c>
      <c r="D2553" s="61">
        <f t="shared" si="195"/>
        <v>1</v>
      </c>
      <c r="E2553" s="64">
        <f t="shared" si="197"/>
        <v>504.77717856495849</v>
      </c>
      <c r="F2553" s="62" t="str">
        <f t="shared" si="198"/>
        <v/>
      </c>
    </row>
    <row r="2554" spans="1:6">
      <c r="A2554" s="60">
        <v>254900</v>
      </c>
      <c r="B2554" s="60">
        <f t="shared" si="196"/>
        <v>5048762</v>
      </c>
      <c r="C2554" s="60">
        <f t="shared" si="199"/>
        <v>5048762</v>
      </c>
      <c r="D2554" s="61">
        <f t="shared" si="195"/>
        <v>1</v>
      </c>
      <c r="E2554" s="64">
        <f t="shared" si="197"/>
        <v>504.87622245457351</v>
      </c>
      <c r="F2554" s="62" t="str">
        <f t="shared" si="198"/>
        <v/>
      </c>
    </row>
    <row r="2555" spans="1:6">
      <c r="A2555" s="60">
        <v>255000</v>
      </c>
      <c r="B2555" s="60">
        <f t="shared" si="196"/>
        <v>5049752</v>
      </c>
      <c r="C2555" s="60">
        <f t="shared" si="199"/>
        <v>5049752</v>
      </c>
      <c r="D2555" s="61">
        <f t="shared" si="195"/>
        <v>1</v>
      </c>
      <c r="E2555" s="64">
        <f t="shared" si="197"/>
        <v>504.97524691810389</v>
      </c>
      <c r="F2555" s="62" t="str">
        <f t="shared" si="198"/>
        <v/>
      </c>
    </row>
    <row r="2556" spans="1:6">
      <c r="A2556" s="60">
        <v>255100</v>
      </c>
      <c r="B2556" s="60">
        <f t="shared" si="196"/>
        <v>5050743</v>
      </c>
      <c r="C2556" s="60">
        <f t="shared" si="199"/>
        <v>5050743</v>
      </c>
      <c r="D2556" s="61">
        <f t="shared" si="195"/>
        <v>1</v>
      </c>
      <c r="E2556" s="64">
        <f t="shared" si="197"/>
        <v>505.07425196697562</v>
      </c>
      <c r="F2556" s="62" t="str">
        <f t="shared" si="198"/>
        <v/>
      </c>
    </row>
    <row r="2557" spans="1:6">
      <c r="A2557" s="60">
        <v>255200</v>
      </c>
      <c r="B2557" s="60">
        <f t="shared" si="196"/>
        <v>5051732</v>
      </c>
      <c r="C2557" s="60">
        <f t="shared" si="199"/>
        <v>5051732</v>
      </c>
      <c r="D2557" s="61">
        <f t="shared" si="195"/>
        <v>1</v>
      </c>
      <c r="E2557" s="64">
        <f t="shared" si="197"/>
        <v>505.17323761260354</v>
      </c>
      <c r="F2557" s="62" t="str">
        <f t="shared" si="198"/>
        <v/>
      </c>
    </row>
    <row r="2558" spans="1:6">
      <c r="A2558" s="60">
        <v>255300</v>
      </c>
      <c r="B2558" s="60">
        <f t="shared" si="196"/>
        <v>5052722</v>
      </c>
      <c r="C2558" s="60">
        <f t="shared" si="199"/>
        <v>5052722</v>
      </c>
      <c r="D2558" s="61">
        <f t="shared" si="195"/>
        <v>1</v>
      </c>
      <c r="E2558" s="64">
        <f t="shared" si="197"/>
        <v>505.27220386639124</v>
      </c>
      <c r="F2558" s="62" t="str">
        <f t="shared" si="198"/>
        <v/>
      </c>
    </row>
    <row r="2559" spans="1:6">
      <c r="A2559" s="60">
        <v>255400</v>
      </c>
      <c r="B2559" s="60">
        <f t="shared" si="196"/>
        <v>5053712</v>
      </c>
      <c r="C2559" s="60">
        <f t="shared" si="199"/>
        <v>5053712</v>
      </c>
      <c r="D2559" s="61">
        <f t="shared" si="195"/>
        <v>1</v>
      </c>
      <c r="E2559" s="64">
        <f t="shared" si="197"/>
        <v>505.37115073973109</v>
      </c>
      <c r="F2559" s="62" t="str">
        <f t="shared" si="198"/>
        <v/>
      </c>
    </row>
    <row r="2560" spans="1:6">
      <c r="A2560" s="60">
        <v>255500</v>
      </c>
      <c r="B2560" s="60">
        <f t="shared" si="196"/>
        <v>5054701</v>
      </c>
      <c r="C2560" s="60">
        <f t="shared" si="199"/>
        <v>5054701</v>
      </c>
      <c r="D2560" s="61">
        <f t="shared" si="195"/>
        <v>1</v>
      </c>
      <c r="E2560" s="64">
        <f t="shared" si="197"/>
        <v>505.47007824400447</v>
      </c>
      <c r="F2560" s="62" t="str">
        <f t="shared" si="198"/>
        <v/>
      </c>
    </row>
    <row r="2561" spans="1:6">
      <c r="A2561" s="60">
        <v>255600</v>
      </c>
      <c r="B2561" s="60">
        <f t="shared" si="196"/>
        <v>5055690</v>
      </c>
      <c r="C2561" s="60">
        <f t="shared" si="199"/>
        <v>5055690</v>
      </c>
      <c r="D2561" s="61">
        <f t="shared" si="195"/>
        <v>1</v>
      </c>
      <c r="E2561" s="64">
        <f t="shared" si="197"/>
        <v>505.56898639058153</v>
      </c>
      <c r="F2561" s="62" t="str">
        <f t="shared" si="198"/>
        <v/>
      </c>
    </row>
    <row r="2562" spans="1:6">
      <c r="A2562" s="60">
        <v>255700</v>
      </c>
      <c r="B2562" s="60">
        <f t="shared" si="196"/>
        <v>5056679</v>
      </c>
      <c r="C2562" s="60">
        <f t="shared" si="199"/>
        <v>5056679</v>
      </c>
      <c r="D2562" s="61">
        <f t="shared" si="195"/>
        <v>1</v>
      </c>
      <c r="E2562" s="64">
        <f t="shared" si="197"/>
        <v>505.66787519082129</v>
      </c>
      <c r="F2562" s="62" t="str">
        <f t="shared" si="198"/>
        <v/>
      </c>
    </row>
    <row r="2563" spans="1:6">
      <c r="A2563" s="60">
        <v>255800</v>
      </c>
      <c r="B2563" s="60">
        <f t="shared" si="196"/>
        <v>5057667</v>
      </c>
      <c r="C2563" s="60">
        <f t="shared" si="199"/>
        <v>5057667</v>
      </c>
      <c r="D2563" s="61">
        <f t="shared" si="195"/>
        <v>1</v>
      </c>
      <c r="E2563" s="64">
        <f t="shared" si="197"/>
        <v>505.76674465607169</v>
      </c>
      <c r="F2563" s="62" t="str">
        <f t="shared" si="198"/>
        <v/>
      </c>
    </row>
    <row r="2564" spans="1:6">
      <c r="A2564" s="60">
        <v>255900</v>
      </c>
      <c r="B2564" s="60">
        <f t="shared" si="196"/>
        <v>5058656</v>
      </c>
      <c r="C2564" s="60">
        <f t="shared" si="199"/>
        <v>5058656</v>
      </c>
      <c r="D2564" s="61">
        <f t="shared" si="195"/>
        <v>1</v>
      </c>
      <c r="E2564" s="64">
        <f t="shared" si="197"/>
        <v>505.86559479766953</v>
      </c>
      <c r="F2564" s="62" t="str">
        <f t="shared" si="198"/>
        <v/>
      </c>
    </row>
    <row r="2565" spans="1:6">
      <c r="A2565" s="60">
        <v>256000</v>
      </c>
      <c r="B2565" s="60">
        <f t="shared" si="196"/>
        <v>5059644</v>
      </c>
      <c r="C2565" s="60">
        <f t="shared" si="199"/>
        <v>5059644</v>
      </c>
      <c r="D2565" s="61">
        <f t="shared" ref="D2565:D2628" si="200">(A2565-INDEX(兵力区间,MATCH(A2565,兵力区间,1)))/(INDEX(兵力区间,MATCH(A2565,兵力区间,1)+1)-INDEX(兵力区间,MATCH(A2565,兵力区间,1)))*((INDEX(兵力调节,MATCH(A2565,兵力区间,1)+1,2)-INDEX(兵力调节,MATCH(A2565,兵力区间,1),2)))+INDEX(兵力调节,MATCH(A2565,兵力区间,1),2)</f>
        <v>1</v>
      </c>
      <c r="E2565" s="64">
        <f t="shared" si="197"/>
        <v>505.96442562694068</v>
      </c>
      <c r="F2565" s="62" t="str">
        <f t="shared" si="198"/>
        <v/>
      </c>
    </row>
    <row r="2566" spans="1:6">
      <c r="A2566" s="60">
        <v>256100</v>
      </c>
      <c r="B2566" s="60">
        <f t="shared" si="196"/>
        <v>5060632</v>
      </c>
      <c r="C2566" s="60">
        <f t="shared" si="199"/>
        <v>5060632</v>
      </c>
      <c r="D2566" s="61">
        <f t="shared" si="200"/>
        <v>1</v>
      </c>
      <c r="E2566" s="64">
        <f t="shared" si="197"/>
        <v>506.06323715519983</v>
      </c>
      <c r="F2566" s="62" t="str">
        <f t="shared" si="198"/>
        <v/>
      </c>
    </row>
    <row r="2567" spans="1:6">
      <c r="A2567" s="60">
        <v>256200</v>
      </c>
      <c r="B2567" s="60">
        <f t="shared" ref="B2567:B2630" si="201">ROUND(D2567*E2567*10000,0)</f>
        <v>5061620</v>
      </c>
      <c r="C2567" s="60">
        <f t="shared" si="199"/>
        <v>5061620</v>
      </c>
      <c r="D2567" s="61">
        <f t="shared" si="200"/>
        <v>1</v>
      </c>
      <c r="E2567" s="64">
        <f t="shared" ref="E2567:E2630" si="202">A2567^0.5</f>
        <v>506.16202939375057</v>
      </c>
      <c r="F2567" s="62" t="str">
        <f t="shared" si="198"/>
        <v/>
      </c>
    </row>
    <row r="2568" spans="1:6">
      <c r="A2568" s="60">
        <v>256300</v>
      </c>
      <c r="B2568" s="60">
        <f t="shared" si="201"/>
        <v>5062608</v>
      </c>
      <c r="C2568" s="60">
        <f t="shared" si="199"/>
        <v>5062608</v>
      </c>
      <c r="D2568" s="61">
        <f t="shared" si="200"/>
        <v>1</v>
      </c>
      <c r="E2568" s="64">
        <f t="shared" si="202"/>
        <v>506.26080235388559</v>
      </c>
      <c r="F2568" s="62" t="str">
        <f t="shared" ref="F2568:F2631" si="203">IF(B2568&lt;B2567,1,"")</f>
        <v/>
      </c>
    </row>
    <row r="2569" spans="1:6">
      <c r="A2569" s="60">
        <v>256400</v>
      </c>
      <c r="B2569" s="60">
        <f t="shared" si="201"/>
        <v>5063596</v>
      </c>
      <c r="C2569" s="60">
        <f t="shared" si="199"/>
        <v>5063596</v>
      </c>
      <c r="D2569" s="61">
        <f t="shared" si="200"/>
        <v>1</v>
      </c>
      <c r="E2569" s="64">
        <f t="shared" si="202"/>
        <v>506.3595560468865</v>
      </c>
      <c r="F2569" s="62" t="str">
        <f t="shared" si="203"/>
        <v/>
      </c>
    </row>
    <row r="2570" spans="1:6">
      <c r="A2570" s="60">
        <v>256500</v>
      </c>
      <c r="B2570" s="60">
        <f t="shared" si="201"/>
        <v>5064583</v>
      </c>
      <c r="C2570" s="60">
        <f t="shared" si="199"/>
        <v>5064583</v>
      </c>
      <c r="D2570" s="61">
        <f t="shared" si="200"/>
        <v>1</v>
      </c>
      <c r="E2570" s="64">
        <f t="shared" si="202"/>
        <v>506.45829048402396</v>
      </c>
      <c r="F2570" s="62" t="str">
        <f t="shared" si="203"/>
        <v/>
      </c>
    </row>
    <row r="2571" spans="1:6">
      <c r="A2571" s="60">
        <v>256600</v>
      </c>
      <c r="B2571" s="60">
        <f t="shared" si="201"/>
        <v>5065570</v>
      </c>
      <c r="C2571" s="60">
        <f t="shared" ref="C2571:C2634" si="204">ROUND(D2571*E2571*10000,0)</f>
        <v>5065570</v>
      </c>
      <c r="D2571" s="61">
        <f t="shared" si="200"/>
        <v>1</v>
      </c>
      <c r="E2571" s="64">
        <f t="shared" si="202"/>
        <v>506.55700567655759</v>
      </c>
      <c r="F2571" s="62" t="str">
        <f t="shared" si="203"/>
        <v/>
      </c>
    </row>
    <row r="2572" spans="1:6">
      <c r="A2572" s="60">
        <v>256700</v>
      </c>
      <c r="B2572" s="60">
        <f t="shared" si="201"/>
        <v>5066557</v>
      </c>
      <c r="C2572" s="60">
        <f t="shared" si="204"/>
        <v>5066557</v>
      </c>
      <c r="D2572" s="61">
        <f t="shared" si="200"/>
        <v>1</v>
      </c>
      <c r="E2572" s="64">
        <f t="shared" si="202"/>
        <v>506.65570163573608</v>
      </c>
      <c r="F2572" s="62" t="str">
        <f t="shared" si="203"/>
        <v/>
      </c>
    </row>
    <row r="2573" spans="1:6">
      <c r="A2573" s="60">
        <v>256800</v>
      </c>
      <c r="B2573" s="60">
        <f t="shared" si="201"/>
        <v>5067544</v>
      </c>
      <c r="C2573" s="60">
        <f t="shared" si="204"/>
        <v>5067544</v>
      </c>
      <c r="D2573" s="61">
        <f t="shared" si="200"/>
        <v>1</v>
      </c>
      <c r="E2573" s="64">
        <f t="shared" si="202"/>
        <v>506.75437837279708</v>
      </c>
      <c r="F2573" s="62" t="str">
        <f t="shared" si="203"/>
        <v/>
      </c>
    </row>
    <row r="2574" spans="1:6">
      <c r="A2574" s="60">
        <v>256900</v>
      </c>
      <c r="B2574" s="60">
        <f t="shared" si="201"/>
        <v>5068530</v>
      </c>
      <c r="C2574" s="60">
        <f t="shared" si="204"/>
        <v>5068530</v>
      </c>
      <c r="D2574" s="61">
        <f t="shared" si="200"/>
        <v>1</v>
      </c>
      <c r="E2574" s="64">
        <f t="shared" si="202"/>
        <v>506.85303589896745</v>
      </c>
      <c r="F2574" s="62" t="str">
        <f t="shared" si="203"/>
        <v/>
      </c>
    </row>
    <row r="2575" spans="1:6">
      <c r="A2575" s="60">
        <v>257000</v>
      </c>
      <c r="B2575" s="60">
        <f t="shared" si="201"/>
        <v>5069517</v>
      </c>
      <c r="C2575" s="60">
        <f t="shared" si="204"/>
        <v>5069517</v>
      </c>
      <c r="D2575" s="61">
        <f t="shared" si="200"/>
        <v>1</v>
      </c>
      <c r="E2575" s="64">
        <f t="shared" si="202"/>
        <v>506.95167422546302</v>
      </c>
      <c r="F2575" s="62" t="str">
        <f t="shared" si="203"/>
        <v/>
      </c>
    </row>
    <row r="2576" spans="1:6">
      <c r="A2576" s="60">
        <v>257100</v>
      </c>
      <c r="B2576" s="60">
        <f t="shared" si="201"/>
        <v>5070503</v>
      </c>
      <c r="C2576" s="60">
        <f t="shared" si="204"/>
        <v>5070503</v>
      </c>
      <c r="D2576" s="61">
        <f t="shared" si="200"/>
        <v>1</v>
      </c>
      <c r="E2576" s="64">
        <f t="shared" si="202"/>
        <v>507.05029336348872</v>
      </c>
      <c r="F2576" s="62" t="str">
        <f t="shared" si="203"/>
        <v/>
      </c>
    </row>
    <row r="2577" spans="1:6">
      <c r="A2577" s="60">
        <v>257200</v>
      </c>
      <c r="B2577" s="60">
        <f t="shared" si="201"/>
        <v>5071489</v>
      </c>
      <c r="C2577" s="60">
        <f t="shared" si="204"/>
        <v>5071489</v>
      </c>
      <c r="D2577" s="61">
        <f t="shared" si="200"/>
        <v>1</v>
      </c>
      <c r="E2577" s="64">
        <f t="shared" si="202"/>
        <v>507.14889332423866</v>
      </c>
      <c r="F2577" s="62" t="str">
        <f t="shared" si="203"/>
        <v/>
      </c>
    </row>
    <row r="2578" spans="1:6">
      <c r="A2578" s="60">
        <v>257300</v>
      </c>
      <c r="B2578" s="60">
        <f t="shared" si="201"/>
        <v>5072475</v>
      </c>
      <c r="C2578" s="60">
        <f t="shared" si="204"/>
        <v>5072475</v>
      </c>
      <c r="D2578" s="61">
        <f t="shared" si="200"/>
        <v>1</v>
      </c>
      <c r="E2578" s="64">
        <f t="shared" si="202"/>
        <v>507.24747411889592</v>
      </c>
      <c r="F2578" s="62" t="str">
        <f t="shared" si="203"/>
        <v/>
      </c>
    </row>
    <row r="2579" spans="1:6">
      <c r="A2579" s="60">
        <v>257400</v>
      </c>
      <c r="B2579" s="60">
        <f t="shared" si="201"/>
        <v>5073460</v>
      </c>
      <c r="C2579" s="60">
        <f t="shared" si="204"/>
        <v>5073460</v>
      </c>
      <c r="D2579" s="61">
        <f t="shared" si="200"/>
        <v>1</v>
      </c>
      <c r="E2579" s="64">
        <f t="shared" si="202"/>
        <v>507.34603575863287</v>
      </c>
      <c r="F2579" s="62" t="str">
        <f t="shared" si="203"/>
        <v/>
      </c>
    </row>
    <row r="2580" spans="1:6">
      <c r="A2580" s="60">
        <v>257500</v>
      </c>
      <c r="B2580" s="60">
        <f t="shared" si="201"/>
        <v>5074446</v>
      </c>
      <c r="C2580" s="60">
        <f t="shared" si="204"/>
        <v>5074446</v>
      </c>
      <c r="D2580" s="61">
        <f t="shared" si="200"/>
        <v>1</v>
      </c>
      <c r="E2580" s="64">
        <f t="shared" si="202"/>
        <v>507.44457825461097</v>
      </c>
      <c r="F2580" s="62" t="str">
        <f t="shared" si="203"/>
        <v/>
      </c>
    </row>
    <row r="2581" spans="1:6">
      <c r="A2581" s="60">
        <v>257600</v>
      </c>
      <c r="B2581" s="60">
        <f t="shared" si="201"/>
        <v>5075431</v>
      </c>
      <c r="C2581" s="60">
        <f t="shared" si="204"/>
        <v>5075431</v>
      </c>
      <c r="D2581" s="61">
        <f t="shared" si="200"/>
        <v>1</v>
      </c>
      <c r="E2581" s="64">
        <f t="shared" si="202"/>
        <v>507.54310161798082</v>
      </c>
      <c r="F2581" s="62" t="str">
        <f t="shared" si="203"/>
        <v/>
      </c>
    </row>
    <row r="2582" spans="1:6">
      <c r="A2582" s="60">
        <v>257700</v>
      </c>
      <c r="B2582" s="60">
        <f t="shared" si="201"/>
        <v>5076416</v>
      </c>
      <c r="C2582" s="60">
        <f t="shared" si="204"/>
        <v>5076416</v>
      </c>
      <c r="D2582" s="61">
        <f t="shared" si="200"/>
        <v>1</v>
      </c>
      <c r="E2582" s="64">
        <f t="shared" si="202"/>
        <v>507.64160585988219</v>
      </c>
      <c r="F2582" s="62" t="str">
        <f t="shared" si="203"/>
        <v/>
      </c>
    </row>
    <row r="2583" spans="1:6">
      <c r="A2583" s="60">
        <v>257800</v>
      </c>
      <c r="B2583" s="60">
        <f t="shared" si="201"/>
        <v>5077401</v>
      </c>
      <c r="C2583" s="60">
        <f t="shared" si="204"/>
        <v>5077401</v>
      </c>
      <c r="D2583" s="61">
        <f t="shared" si="200"/>
        <v>1</v>
      </c>
      <c r="E2583" s="64">
        <f t="shared" si="202"/>
        <v>507.74009099144416</v>
      </c>
      <c r="F2583" s="62" t="str">
        <f t="shared" si="203"/>
        <v/>
      </c>
    </row>
    <row r="2584" spans="1:6">
      <c r="A2584" s="60">
        <v>257900</v>
      </c>
      <c r="B2584" s="60">
        <f t="shared" si="201"/>
        <v>5078386</v>
      </c>
      <c r="C2584" s="60">
        <f t="shared" si="204"/>
        <v>5078386</v>
      </c>
      <c r="D2584" s="61">
        <f t="shared" si="200"/>
        <v>1</v>
      </c>
      <c r="E2584" s="64">
        <f t="shared" si="202"/>
        <v>507.83855702378486</v>
      </c>
      <c r="F2584" s="62" t="str">
        <f t="shared" si="203"/>
        <v/>
      </c>
    </row>
    <row r="2585" spans="1:6">
      <c r="A2585" s="60">
        <v>258000</v>
      </c>
      <c r="B2585" s="60">
        <f t="shared" si="201"/>
        <v>5079370</v>
      </c>
      <c r="C2585" s="60">
        <f t="shared" si="204"/>
        <v>5079370</v>
      </c>
      <c r="D2585" s="61">
        <f t="shared" si="200"/>
        <v>1</v>
      </c>
      <c r="E2585" s="64">
        <f t="shared" si="202"/>
        <v>507.93700396801177</v>
      </c>
      <c r="F2585" s="62" t="str">
        <f t="shared" si="203"/>
        <v/>
      </c>
    </row>
    <row r="2586" spans="1:6">
      <c r="A2586" s="60">
        <v>258100</v>
      </c>
      <c r="B2586" s="60">
        <f t="shared" si="201"/>
        <v>5080354</v>
      </c>
      <c r="C2586" s="60">
        <f t="shared" si="204"/>
        <v>5080354</v>
      </c>
      <c r="D2586" s="61">
        <f t="shared" si="200"/>
        <v>1</v>
      </c>
      <c r="E2586" s="64">
        <f t="shared" si="202"/>
        <v>508.03543183522152</v>
      </c>
      <c r="F2586" s="62" t="str">
        <f t="shared" si="203"/>
        <v/>
      </c>
    </row>
    <row r="2587" spans="1:6">
      <c r="A2587" s="60">
        <v>258200</v>
      </c>
      <c r="B2587" s="60">
        <f t="shared" si="201"/>
        <v>5081338</v>
      </c>
      <c r="C2587" s="60">
        <f t="shared" si="204"/>
        <v>5081338</v>
      </c>
      <c r="D2587" s="61">
        <f t="shared" si="200"/>
        <v>1</v>
      </c>
      <c r="E2587" s="64">
        <f t="shared" si="202"/>
        <v>508.1338406365</v>
      </c>
      <c r="F2587" s="62" t="str">
        <f t="shared" si="203"/>
        <v/>
      </c>
    </row>
    <row r="2588" spans="1:6">
      <c r="A2588" s="60">
        <v>258300</v>
      </c>
      <c r="B2588" s="60">
        <f t="shared" si="201"/>
        <v>5082322</v>
      </c>
      <c r="C2588" s="60">
        <f t="shared" si="204"/>
        <v>5082322</v>
      </c>
      <c r="D2588" s="61">
        <f t="shared" si="200"/>
        <v>1</v>
      </c>
      <c r="E2588" s="64">
        <f t="shared" si="202"/>
        <v>508.23223038292247</v>
      </c>
      <c r="F2588" s="62" t="str">
        <f t="shared" si="203"/>
        <v/>
      </c>
    </row>
    <row r="2589" spans="1:6">
      <c r="A2589" s="60">
        <v>258400</v>
      </c>
      <c r="B2589" s="60">
        <f t="shared" si="201"/>
        <v>5083306</v>
      </c>
      <c r="C2589" s="60">
        <f t="shared" si="204"/>
        <v>5083306</v>
      </c>
      <c r="D2589" s="61">
        <f t="shared" si="200"/>
        <v>1</v>
      </c>
      <c r="E2589" s="64">
        <f t="shared" si="202"/>
        <v>508.33060108555338</v>
      </c>
      <c r="F2589" s="62" t="str">
        <f t="shared" si="203"/>
        <v/>
      </c>
    </row>
    <row r="2590" spans="1:6">
      <c r="A2590" s="60">
        <v>258500</v>
      </c>
      <c r="B2590" s="60">
        <f t="shared" si="201"/>
        <v>5084290</v>
      </c>
      <c r="C2590" s="60">
        <f t="shared" si="204"/>
        <v>5084290</v>
      </c>
      <c r="D2590" s="61">
        <f t="shared" si="200"/>
        <v>1</v>
      </c>
      <c r="E2590" s="64">
        <f t="shared" si="202"/>
        <v>508.42895275544646</v>
      </c>
      <c r="F2590" s="62" t="str">
        <f t="shared" si="203"/>
        <v/>
      </c>
    </row>
    <row r="2591" spans="1:6">
      <c r="A2591" s="60">
        <v>258600</v>
      </c>
      <c r="B2591" s="60">
        <f t="shared" si="201"/>
        <v>5085273</v>
      </c>
      <c r="C2591" s="60">
        <f t="shared" si="204"/>
        <v>5085273</v>
      </c>
      <c r="D2591" s="61">
        <f t="shared" si="200"/>
        <v>1</v>
      </c>
      <c r="E2591" s="64">
        <f t="shared" si="202"/>
        <v>508.52728540364478</v>
      </c>
      <c r="F2591" s="62" t="str">
        <f t="shared" si="203"/>
        <v/>
      </c>
    </row>
    <row r="2592" spans="1:6">
      <c r="A2592" s="60">
        <v>258700</v>
      </c>
      <c r="B2592" s="60">
        <f t="shared" si="201"/>
        <v>5086256</v>
      </c>
      <c r="C2592" s="60">
        <f t="shared" si="204"/>
        <v>5086256</v>
      </c>
      <c r="D2592" s="61">
        <f t="shared" si="200"/>
        <v>1</v>
      </c>
      <c r="E2592" s="64">
        <f t="shared" si="202"/>
        <v>508.62559904118081</v>
      </c>
      <c r="F2592" s="62" t="str">
        <f t="shared" si="203"/>
        <v/>
      </c>
    </row>
    <row r="2593" spans="1:6">
      <c r="A2593" s="60">
        <v>258800</v>
      </c>
      <c r="B2593" s="60">
        <f t="shared" si="201"/>
        <v>5087239</v>
      </c>
      <c r="C2593" s="60">
        <f t="shared" si="204"/>
        <v>5087239</v>
      </c>
      <c r="D2593" s="61">
        <f t="shared" si="200"/>
        <v>1</v>
      </c>
      <c r="E2593" s="64">
        <f t="shared" si="202"/>
        <v>508.72389367907618</v>
      </c>
      <c r="F2593" s="62" t="str">
        <f t="shared" si="203"/>
        <v/>
      </c>
    </row>
    <row r="2594" spans="1:6">
      <c r="A2594" s="60">
        <v>258900</v>
      </c>
      <c r="B2594" s="60">
        <f t="shared" si="201"/>
        <v>5088222</v>
      </c>
      <c r="C2594" s="60">
        <f t="shared" si="204"/>
        <v>5088222</v>
      </c>
      <c r="D2594" s="61">
        <f t="shared" si="200"/>
        <v>1</v>
      </c>
      <c r="E2594" s="64">
        <f t="shared" si="202"/>
        <v>508.82216932834206</v>
      </c>
      <c r="F2594" s="62" t="str">
        <f t="shared" si="203"/>
        <v/>
      </c>
    </row>
    <row r="2595" spans="1:6">
      <c r="A2595" s="60">
        <v>259000</v>
      </c>
      <c r="B2595" s="60">
        <f t="shared" si="201"/>
        <v>5089204</v>
      </c>
      <c r="C2595" s="60">
        <f t="shared" si="204"/>
        <v>5089204</v>
      </c>
      <c r="D2595" s="61">
        <f t="shared" si="200"/>
        <v>1</v>
      </c>
      <c r="E2595" s="64">
        <f t="shared" si="202"/>
        <v>508.92042599997887</v>
      </c>
      <c r="F2595" s="62" t="str">
        <f t="shared" si="203"/>
        <v/>
      </c>
    </row>
    <row r="2596" spans="1:6">
      <c r="A2596" s="60">
        <v>259100</v>
      </c>
      <c r="B2596" s="60">
        <f t="shared" si="201"/>
        <v>5090187</v>
      </c>
      <c r="C2596" s="60">
        <f t="shared" si="204"/>
        <v>5090187</v>
      </c>
      <c r="D2596" s="61">
        <f t="shared" si="200"/>
        <v>1</v>
      </c>
      <c r="E2596" s="64">
        <f t="shared" si="202"/>
        <v>509.01866370497652</v>
      </c>
      <c r="F2596" s="62" t="str">
        <f t="shared" si="203"/>
        <v/>
      </c>
    </row>
    <row r="2597" spans="1:6">
      <c r="A2597" s="60">
        <v>259200</v>
      </c>
      <c r="B2597" s="60">
        <f t="shared" si="201"/>
        <v>5091169</v>
      </c>
      <c r="C2597" s="60">
        <f t="shared" si="204"/>
        <v>5091169</v>
      </c>
      <c r="D2597" s="61">
        <f t="shared" si="200"/>
        <v>1</v>
      </c>
      <c r="E2597" s="64">
        <f t="shared" si="202"/>
        <v>509.11688245431424</v>
      </c>
      <c r="F2597" s="62" t="str">
        <f t="shared" si="203"/>
        <v/>
      </c>
    </row>
    <row r="2598" spans="1:6">
      <c r="A2598" s="60">
        <v>259300</v>
      </c>
      <c r="B2598" s="60">
        <f t="shared" si="201"/>
        <v>5092151</v>
      </c>
      <c r="C2598" s="60">
        <f t="shared" si="204"/>
        <v>5092151</v>
      </c>
      <c r="D2598" s="61">
        <f t="shared" si="200"/>
        <v>1</v>
      </c>
      <c r="E2598" s="64">
        <f t="shared" si="202"/>
        <v>509.21508225896059</v>
      </c>
      <c r="F2598" s="62" t="str">
        <f t="shared" si="203"/>
        <v/>
      </c>
    </row>
    <row r="2599" spans="1:6">
      <c r="A2599" s="60">
        <v>259400</v>
      </c>
      <c r="B2599" s="60">
        <f t="shared" si="201"/>
        <v>5093133</v>
      </c>
      <c r="C2599" s="60">
        <f t="shared" si="204"/>
        <v>5093133</v>
      </c>
      <c r="D2599" s="61">
        <f t="shared" si="200"/>
        <v>1</v>
      </c>
      <c r="E2599" s="64">
        <f t="shared" si="202"/>
        <v>509.31326312987375</v>
      </c>
      <c r="F2599" s="62" t="str">
        <f t="shared" si="203"/>
        <v/>
      </c>
    </row>
    <row r="2600" spans="1:6">
      <c r="A2600" s="60">
        <v>259500</v>
      </c>
      <c r="B2600" s="60">
        <f t="shared" si="201"/>
        <v>5094114</v>
      </c>
      <c r="C2600" s="60">
        <f t="shared" si="204"/>
        <v>5094114</v>
      </c>
      <c r="D2600" s="61">
        <f t="shared" si="200"/>
        <v>1</v>
      </c>
      <c r="E2600" s="64">
        <f t="shared" si="202"/>
        <v>509.41142507800117</v>
      </c>
      <c r="F2600" s="62" t="str">
        <f t="shared" si="203"/>
        <v/>
      </c>
    </row>
    <row r="2601" spans="1:6">
      <c r="A2601" s="60">
        <v>259600</v>
      </c>
      <c r="B2601" s="60">
        <f t="shared" si="201"/>
        <v>5095096</v>
      </c>
      <c r="C2601" s="60">
        <f t="shared" si="204"/>
        <v>5095096</v>
      </c>
      <c r="D2601" s="61">
        <f t="shared" si="200"/>
        <v>1</v>
      </c>
      <c r="E2601" s="64">
        <f t="shared" si="202"/>
        <v>509.50956811427989</v>
      </c>
      <c r="F2601" s="62" t="str">
        <f t="shared" si="203"/>
        <v/>
      </c>
    </row>
    <row r="2602" spans="1:6">
      <c r="A2602" s="60">
        <v>259700</v>
      </c>
      <c r="B2602" s="60">
        <f t="shared" si="201"/>
        <v>5096077</v>
      </c>
      <c r="C2602" s="60">
        <f t="shared" si="204"/>
        <v>5096077</v>
      </c>
      <c r="D2602" s="61">
        <f t="shared" si="200"/>
        <v>1</v>
      </c>
      <c r="E2602" s="64">
        <f t="shared" si="202"/>
        <v>509.60769224963627</v>
      </c>
      <c r="F2602" s="62" t="str">
        <f t="shared" si="203"/>
        <v/>
      </c>
    </row>
    <row r="2603" spans="1:6">
      <c r="A2603" s="60">
        <v>259800</v>
      </c>
      <c r="B2603" s="60">
        <f t="shared" si="201"/>
        <v>5097058</v>
      </c>
      <c r="C2603" s="60">
        <f t="shared" si="204"/>
        <v>5097058</v>
      </c>
      <c r="D2603" s="61">
        <f t="shared" si="200"/>
        <v>1</v>
      </c>
      <c r="E2603" s="64">
        <f t="shared" si="202"/>
        <v>509.70579749498631</v>
      </c>
      <c r="F2603" s="62" t="str">
        <f t="shared" si="203"/>
        <v/>
      </c>
    </row>
    <row r="2604" spans="1:6">
      <c r="A2604" s="60">
        <v>259900</v>
      </c>
      <c r="B2604" s="60">
        <f t="shared" si="201"/>
        <v>5098039</v>
      </c>
      <c r="C2604" s="60">
        <f t="shared" si="204"/>
        <v>5098039</v>
      </c>
      <c r="D2604" s="61">
        <f t="shared" si="200"/>
        <v>1</v>
      </c>
      <c r="E2604" s="64">
        <f t="shared" si="202"/>
        <v>509.80388386123542</v>
      </c>
      <c r="F2604" s="62" t="str">
        <f t="shared" si="203"/>
        <v/>
      </c>
    </row>
    <row r="2605" spans="1:6">
      <c r="A2605" s="60">
        <v>260000</v>
      </c>
      <c r="B2605" s="60">
        <f t="shared" si="201"/>
        <v>5099020</v>
      </c>
      <c r="C2605" s="60">
        <f t="shared" si="204"/>
        <v>5099020</v>
      </c>
      <c r="D2605" s="61">
        <f t="shared" si="200"/>
        <v>1</v>
      </c>
      <c r="E2605" s="64">
        <f t="shared" si="202"/>
        <v>509.90195135927848</v>
      </c>
      <c r="F2605" s="62" t="str">
        <f t="shared" si="203"/>
        <v/>
      </c>
    </row>
    <row r="2606" spans="1:6">
      <c r="A2606" s="60">
        <v>260100</v>
      </c>
      <c r="B2606" s="60">
        <f t="shared" si="201"/>
        <v>5100000</v>
      </c>
      <c r="C2606" s="60">
        <f t="shared" si="204"/>
        <v>5100000</v>
      </c>
      <c r="D2606" s="61">
        <f t="shared" si="200"/>
        <v>1</v>
      </c>
      <c r="E2606" s="64">
        <f t="shared" si="202"/>
        <v>510</v>
      </c>
      <c r="F2606" s="62" t="str">
        <f t="shared" si="203"/>
        <v/>
      </c>
    </row>
    <row r="2607" spans="1:6">
      <c r="A2607" s="60">
        <v>260200</v>
      </c>
      <c r="B2607" s="60">
        <f t="shared" si="201"/>
        <v>5100980</v>
      </c>
      <c r="C2607" s="60">
        <f t="shared" si="204"/>
        <v>5100980</v>
      </c>
      <c r="D2607" s="61">
        <f t="shared" si="200"/>
        <v>1</v>
      </c>
      <c r="E2607" s="64">
        <f t="shared" si="202"/>
        <v>510.09802979427394</v>
      </c>
      <c r="F2607" s="62" t="str">
        <f t="shared" si="203"/>
        <v/>
      </c>
    </row>
    <row r="2608" spans="1:6">
      <c r="A2608" s="60">
        <v>260300</v>
      </c>
      <c r="B2608" s="60">
        <f t="shared" si="201"/>
        <v>5101960</v>
      </c>
      <c r="C2608" s="60">
        <f t="shared" si="204"/>
        <v>5101960</v>
      </c>
      <c r="D2608" s="61">
        <f t="shared" si="200"/>
        <v>1</v>
      </c>
      <c r="E2608" s="64">
        <f t="shared" si="202"/>
        <v>510.19604075296388</v>
      </c>
      <c r="F2608" s="62" t="str">
        <f t="shared" si="203"/>
        <v/>
      </c>
    </row>
    <row r="2609" spans="1:6">
      <c r="A2609" s="60">
        <v>260400</v>
      </c>
      <c r="B2609" s="60">
        <f t="shared" si="201"/>
        <v>5102940</v>
      </c>
      <c r="C2609" s="60">
        <f t="shared" si="204"/>
        <v>5102940</v>
      </c>
      <c r="D2609" s="61">
        <f t="shared" si="200"/>
        <v>1</v>
      </c>
      <c r="E2609" s="64">
        <f t="shared" si="202"/>
        <v>510.29403288692293</v>
      </c>
      <c r="F2609" s="62" t="str">
        <f t="shared" si="203"/>
        <v/>
      </c>
    </row>
    <row r="2610" spans="1:6">
      <c r="A2610" s="60">
        <v>260500</v>
      </c>
      <c r="B2610" s="60">
        <f t="shared" si="201"/>
        <v>5103920</v>
      </c>
      <c r="C2610" s="60">
        <f t="shared" si="204"/>
        <v>5103920</v>
      </c>
      <c r="D2610" s="61">
        <f t="shared" si="200"/>
        <v>1</v>
      </c>
      <c r="E2610" s="64">
        <f t="shared" si="202"/>
        <v>510.39200620699381</v>
      </c>
      <c r="F2610" s="62" t="str">
        <f t="shared" si="203"/>
        <v/>
      </c>
    </row>
    <row r="2611" spans="1:6">
      <c r="A2611" s="60">
        <v>260600</v>
      </c>
      <c r="B2611" s="60">
        <f t="shared" si="201"/>
        <v>5104900</v>
      </c>
      <c r="C2611" s="60">
        <f t="shared" si="204"/>
        <v>5104900</v>
      </c>
      <c r="D2611" s="61">
        <f t="shared" si="200"/>
        <v>1</v>
      </c>
      <c r="E2611" s="64">
        <f t="shared" si="202"/>
        <v>510.48996072400877</v>
      </c>
      <c r="F2611" s="62" t="str">
        <f t="shared" si="203"/>
        <v/>
      </c>
    </row>
    <row r="2612" spans="1:6">
      <c r="A2612" s="60">
        <v>260700</v>
      </c>
      <c r="B2612" s="60">
        <f t="shared" si="201"/>
        <v>5105879</v>
      </c>
      <c r="C2612" s="60">
        <f t="shared" si="204"/>
        <v>5105879</v>
      </c>
      <c r="D2612" s="61">
        <f t="shared" si="200"/>
        <v>1</v>
      </c>
      <c r="E2612" s="64">
        <f t="shared" si="202"/>
        <v>510.58789644878971</v>
      </c>
      <c r="F2612" s="62" t="str">
        <f t="shared" si="203"/>
        <v/>
      </c>
    </row>
    <row r="2613" spans="1:6">
      <c r="A2613" s="60">
        <v>260800</v>
      </c>
      <c r="B2613" s="60">
        <f t="shared" si="201"/>
        <v>5106858</v>
      </c>
      <c r="C2613" s="60">
        <f t="shared" si="204"/>
        <v>5106858</v>
      </c>
      <c r="D2613" s="61">
        <f t="shared" si="200"/>
        <v>1</v>
      </c>
      <c r="E2613" s="64">
        <f t="shared" si="202"/>
        <v>510.68581339214819</v>
      </c>
      <c r="F2613" s="62" t="str">
        <f t="shared" si="203"/>
        <v/>
      </c>
    </row>
    <row r="2614" spans="1:6">
      <c r="A2614" s="60">
        <v>260900</v>
      </c>
      <c r="B2614" s="60">
        <f t="shared" si="201"/>
        <v>5107837</v>
      </c>
      <c r="C2614" s="60">
        <f t="shared" si="204"/>
        <v>5107837</v>
      </c>
      <c r="D2614" s="61">
        <f t="shared" si="200"/>
        <v>1</v>
      </c>
      <c r="E2614" s="64">
        <f t="shared" si="202"/>
        <v>510.78371156488538</v>
      </c>
      <c r="F2614" s="62" t="str">
        <f t="shared" si="203"/>
        <v/>
      </c>
    </row>
    <row r="2615" spans="1:6">
      <c r="A2615" s="60">
        <v>261000</v>
      </c>
      <c r="B2615" s="60">
        <f t="shared" si="201"/>
        <v>5108816</v>
      </c>
      <c r="C2615" s="60">
        <f t="shared" si="204"/>
        <v>5108816</v>
      </c>
      <c r="D2615" s="61">
        <f t="shared" si="200"/>
        <v>1</v>
      </c>
      <c r="E2615" s="64">
        <f t="shared" si="202"/>
        <v>510.88159097779203</v>
      </c>
      <c r="F2615" s="62" t="str">
        <f t="shared" si="203"/>
        <v/>
      </c>
    </row>
    <row r="2616" spans="1:6">
      <c r="A2616" s="60">
        <v>261100</v>
      </c>
      <c r="B2616" s="60">
        <f t="shared" si="201"/>
        <v>5109795</v>
      </c>
      <c r="C2616" s="60">
        <f t="shared" si="204"/>
        <v>5109795</v>
      </c>
      <c r="D2616" s="61">
        <f t="shared" si="200"/>
        <v>1</v>
      </c>
      <c r="E2616" s="64">
        <f t="shared" si="202"/>
        <v>510.97945164164872</v>
      </c>
      <c r="F2616" s="62" t="str">
        <f t="shared" si="203"/>
        <v/>
      </c>
    </row>
    <row r="2617" spans="1:6">
      <c r="A2617" s="60">
        <v>261200</v>
      </c>
      <c r="B2617" s="60">
        <f t="shared" si="201"/>
        <v>5110773</v>
      </c>
      <c r="C2617" s="60">
        <f t="shared" si="204"/>
        <v>5110773</v>
      </c>
      <c r="D2617" s="61">
        <f t="shared" si="200"/>
        <v>1</v>
      </c>
      <c r="E2617" s="64">
        <f t="shared" si="202"/>
        <v>511.07729356722552</v>
      </c>
      <c r="F2617" s="62" t="str">
        <f t="shared" si="203"/>
        <v/>
      </c>
    </row>
    <row r="2618" spans="1:6">
      <c r="A2618" s="60">
        <v>261300</v>
      </c>
      <c r="B2618" s="60">
        <f t="shared" si="201"/>
        <v>5111751</v>
      </c>
      <c r="C2618" s="60">
        <f t="shared" si="204"/>
        <v>5111751</v>
      </c>
      <c r="D2618" s="61">
        <f t="shared" si="200"/>
        <v>1</v>
      </c>
      <c r="E2618" s="64">
        <f t="shared" si="202"/>
        <v>511.17511676528233</v>
      </c>
      <c r="F2618" s="62" t="str">
        <f t="shared" si="203"/>
        <v/>
      </c>
    </row>
    <row r="2619" spans="1:6">
      <c r="A2619" s="60">
        <v>261400</v>
      </c>
      <c r="B2619" s="60">
        <f t="shared" si="201"/>
        <v>5112729</v>
      </c>
      <c r="C2619" s="60">
        <f t="shared" si="204"/>
        <v>5112729</v>
      </c>
      <c r="D2619" s="61">
        <f t="shared" si="200"/>
        <v>1</v>
      </c>
      <c r="E2619" s="64">
        <f t="shared" si="202"/>
        <v>511.27292124656867</v>
      </c>
      <c r="F2619" s="62" t="str">
        <f t="shared" si="203"/>
        <v/>
      </c>
    </row>
    <row r="2620" spans="1:6">
      <c r="A2620" s="60">
        <v>261500</v>
      </c>
      <c r="B2620" s="60">
        <f t="shared" si="201"/>
        <v>5113707</v>
      </c>
      <c r="C2620" s="60">
        <f t="shared" si="204"/>
        <v>5113707</v>
      </c>
      <c r="D2620" s="61">
        <f t="shared" si="200"/>
        <v>1</v>
      </c>
      <c r="E2620" s="64">
        <f t="shared" si="202"/>
        <v>511.37070702182382</v>
      </c>
      <c r="F2620" s="62" t="str">
        <f t="shared" si="203"/>
        <v/>
      </c>
    </row>
    <row r="2621" spans="1:6">
      <c r="A2621" s="60">
        <v>261600</v>
      </c>
      <c r="B2621" s="60">
        <f t="shared" si="201"/>
        <v>5114685</v>
      </c>
      <c r="C2621" s="60">
        <f t="shared" si="204"/>
        <v>5114685</v>
      </c>
      <c r="D2621" s="61">
        <f t="shared" si="200"/>
        <v>1</v>
      </c>
      <c r="E2621" s="64">
        <f t="shared" si="202"/>
        <v>511.46847410177685</v>
      </c>
      <c r="F2621" s="62" t="str">
        <f t="shared" si="203"/>
        <v/>
      </c>
    </row>
    <row r="2622" spans="1:6">
      <c r="A2622" s="60">
        <v>261700</v>
      </c>
      <c r="B2622" s="60">
        <f t="shared" si="201"/>
        <v>5115662</v>
      </c>
      <c r="C2622" s="60">
        <f t="shared" si="204"/>
        <v>5115662</v>
      </c>
      <c r="D2622" s="61">
        <f t="shared" si="200"/>
        <v>1</v>
      </c>
      <c r="E2622" s="64">
        <f t="shared" si="202"/>
        <v>511.5662224971465</v>
      </c>
      <c r="F2622" s="62" t="str">
        <f t="shared" si="203"/>
        <v/>
      </c>
    </row>
    <row r="2623" spans="1:6">
      <c r="A2623" s="60">
        <v>261800</v>
      </c>
      <c r="B2623" s="60">
        <f t="shared" si="201"/>
        <v>5116640</v>
      </c>
      <c r="C2623" s="60">
        <f t="shared" si="204"/>
        <v>5116640</v>
      </c>
      <c r="D2623" s="61">
        <f t="shared" si="200"/>
        <v>1</v>
      </c>
      <c r="E2623" s="64">
        <f t="shared" si="202"/>
        <v>511.66395221864127</v>
      </c>
      <c r="F2623" s="62" t="str">
        <f t="shared" si="203"/>
        <v/>
      </c>
    </row>
    <row r="2624" spans="1:6">
      <c r="A2624" s="60">
        <v>261900</v>
      </c>
      <c r="B2624" s="60">
        <f t="shared" si="201"/>
        <v>5117617</v>
      </c>
      <c r="C2624" s="60">
        <f t="shared" si="204"/>
        <v>5117617</v>
      </c>
      <c r="D2624" s="61">
        <f t="shared" si="200"/>
        <v>1</v>
      </c>
      <c r="E2624" s="64">
        <f t="shared" si="202"/>
        <v>511.76166327695944</v>
      </c>
      <c r="F2624" s="62" t="str">
        <f t="shared" si="203"/>
        <v/>
      </c>
    </row>
    <row r="2625" spans="1:6">
      <c r="A2625" s="60">
        <v>262000</v>
      </c>
      <c r="B2625" s="60">
        <f t="shared" si="201"/>
        <v>5118594</v>
      </c>
      <c r="C2625" s="60">
        <f t="shared" si="204"/>
        <v>5118594</v>
      </c>
      <c r="D2625" s="61">
        <f t="shared" si="200"/>
        <v>1</v>
      </c>
      <c r="E2625" s="64">
        <f t="shared" si="202"/>
        <v>511.8593556827891</v>
      </c>
      <c r="F2625" s="62" t="str">
        <f t="shared" si="203"/>
        <v/>
      </c>
    </row>
    <row r="2626" spans="1:6">
      <c r="A2626" s="60">
        <v>262100</v>
      </c>
      <c r="B2626" s="60">
        <f t="shared" si="201"/>
        <v>5119570</v>
      </c>
      <c r="C2626" s="60">
        <f t="shared" si="204"/>
        <v>5119570</v>
      </c>
      <c r="D2626" s="61">
        <f t="shared" si="200"/>
        <v>1</v>
      </c>
      <c r="E2626" s="64">
        <f t="shared" si="202"/>
        <v>511.95702944680818</v>
      </c>
      <c r="F2626" s="62" t="str">
        <f t="shared" si="203"/>
        <v/>
      </c>
    </row>
    <row r="2627" spans="1:6">
      <c r="A2627" s="60">
        <v>262200</v>
      </c>
      <c r="B2627" s="60">
        <f t="shared" si="201"/>
        <v>5120547</v>
      </c>
      <c r="C2627" s="60">
        <f t="shared" si="204"/>
        <v>5120547</v>
      </c>
      <c r="D2627" s="61">
        <f t="shared" si="200"/>
        <v>1</v>
      </c>
      <c r="E2627" s="64">
        <f t="shared" si="202"/>
        <v>512.05468457968436</v>
      </c>
      <c r="F2627" s="62" t="str">
        <f t="shared" si="203"/>
        <v/>
      </c>
    </row>
    <row r="2628" spans="1:6">
      <c r="A2628" s="60">
        <v>262300</v>
      </c>
      <c r="B2628" s="60">
        <f t="shared" si="201"/>
        <v>5121523</v>
      </c>
      <c r="C2628" s="60">
        <f t="shared" si="204"/>
        <v>5121523</v>
      </c>
      <c r="D2628" s="61">
        <f t="shared" si="200"/>
        <v>1</v>
      </c>
      <c r="E2628" s="64">
        <f t="shared" si="202"/>
        <v>512.15232109207511</v>
      </c>
      <c r="F2628" s="62" t="str">
        <f t="shared" si="203"/>
        <v/>
      </c>
    </row>
    <row r="2629" spans="1:6">
      <c r="A2629" s="60">
        <v>262400</v>
      </c>
      <c r="B2629" s="60">
        <f t="shared" si="201"/>
        <v>5122499</v>
      </c>
      <c r="C2629" s="60">
        <f t="shared" si="204"/>
        <v>5122499</v>
      </c>
      <c r="D2629" s="61">
        <f t="shared" ref="D2629:D2692" si="205">(A2629-INDEX(兵力区间,MATCH(A2629,兵力区间,1)))/(INDEX(兵力区间,MATCH(A2629,兵力区间,1)+1)-INDEX(兵力区间,MATCH(A2629,兵力区间,1)))*((INDEX(兵力调节,MATCH(A2629,兵力区间,1)+1,2)-INDEX(兵力调节,MATCH(A2629,兵力区间,1),2)))+INDEX(兵力调节,MATCH(A2629,兵力区间,1),2)</f>
        <v>1</v>
      </c>
      <c r="E2629" s="64">
        <f t="shared" si="202"/>
        <v>512.24993899462788</v>
      </c>
      <c r="F2629" s="62" t="str">
        <f t="shared" si="203"/>
        <v/>
      </c>
    </row>
    <row r="2630" spans="1:6">
      <c r="A2630" s="60">
        <v>262500</v>
      </c>
      <c r="B2630" s="60">
        <f t="shared" si="201"/>
        <v>5123475</v>
      </c>
      <c r="C2630" s="60">
        <f t="shared" si="204"/>
        <v>5123475</v>
      </c>
      <c r="D2630" s="61">
        <f t="shared" si="205"/>
        <v>1</v>
      </c>
      <c r="E2630" s="64">
        <f t="shared" si="202"/>
        <v>512.3475382979799</v>
      </c>
      <c r="F2630" s="62" t="str">
        <f t="shared" si="203"/>
        <v/>
      </c>
    </row>
    <row r="2631" spans="1:6">
      <c r="A2631" s="60">
        <v>262600</v>
      </c>
      <c r="B2631" s="60">
        <f t="shared" ref="B2631:B2694" si="206">ROUND(D2631*E2631*10000,0)</f>
        <v>5124451</v>
      </c>
      <c r="C2631" s="60">
        <f t="shared" si="204"/>
        <v>5124451</v>
      </c>
      <c r="D2631" s="61">
        <f t="shared" si="205"/>
        <v>1</v>
      </c>
      <c r="E2631" s="64">
        <f t="shared" ref="E2631:E2694" si="207">A2631^0.5</f>
        <v>512.44511901275825</v>
      </c>
      <c r="F2631" s="62" t="str">
        <f t="shared" si="203"/>
        <v/>
      </c>
    </row>
    <row r="2632" spans="1:6">
      <c r="A2632" s="60">
        <v>262700</v>
      </c>
      <c r="B2632" s="60">
        <f t="shared" si="206"/>
        <v>5125427</v>
      </c>
      <c r="C2632" s="60">
        <f t="shared" si="204"/>
        <v>5125427</v>
      </c>
      <c r="D2632" s="61">
        <f t="shared" si="205"/>
        <v>1</v>
      </c>
      <c r="E2632" s="64">
        <f t="shared" si="207"/>
        <v>512.54268114957995</v>
      </c>
      <c r="F2632" s="62" t="str">
        <f t="shared" ref="F2632:F2695" si="208">IF(B2632&lt;B2631,1,"")</f>
        <v/>
      </c>
    </row>
    <row r="2633" spans="1:6">
      <c r="A2633" s="60">
        <v>262800</v>
      </c>
      <c r="B2633" s="60">
        <f t="shared" si="206"/>
        <v>5126402</v>
      </c>
      <c r="C2633" s="60">
        <f t="shared" si="204"/>
        <v>5126402</v>
      </c>
      <c r="D2633" s="61">
        <f t="shared" si="205"/>
        <v>1</v>
      </c>
      <c r="E2633" s="64">
        <f t="shared" si="207"/>
        <v>512.64022471905184</v>
      </c>
      <c r="F2633" s="62" t="str">
        <f t="shared" si="208"/>
        <v/>
      </c>
    </row>
    <row r="2634" spans="1:6">
      <c r="A2634" s="60">
        <v>262900</v>
      </c>
      <c r="B2634" s="60">
        <f t="shared" si="206"/>
        <v>5127377</v>
      </c>
      <c r="C2634" s="60">
        <f t="shared" si="204"/>
        <v>5127377</v>
      </c>
      <c r="D2634" s="61">
        <f t="shared" si="205"/>
        <v>1</v>
      </c>
      <c r="E2634" s="64">
        <f t="shared" si="207"/>
        <v>512.7377497317708</v>
      </c>
      <c r="F2634" s="62" t="str">
        <f t="shared" si="208"/>
        <v/>
      </c>
    </row>
    <row r="2635" spans="1:6">
      <c r="A2635" s="60">
        <v>263000</v>
      </c>
      <c r="B2635" s="60">
        <f t="shared" si="206"/>
        <v>5128353</v>
      </c>
      <c r="C2635" s="60">
        <f t="shared" ref="C2635:C2698" si="209">ROUND(D2635*E2635*10000,0)</f>
        <v>5128353</v>
      </c>
      <c r="D2635" s="61">
        <f t="shared" si="205"/>
        <v>1</v>
      </c>
      <c r="E2635" s="64">
        <f t="shared" si="207"/>
        <v>512.83525619832335</v>
      </c>
      <c r="F2635" s="62" t="str">
        <f t="shared" si="208"/>
        <v/>
      </c>
    </row>
    <row r="2636" spans="1:6">
      <c r="A2636" s="60">
        <v>263100</v>
      </c>
      <c r="B2636" s="60">
        <f t="shared" si="206"/>
        <v>5129327</v>
      </c>
      <c r="C2636" s="60">
        <f t="shared" si="209"/>
        <v>5129327</v>
      </c>
      <c r="D2636" s="61">
        <f t="shared" si="205"/>
        <v>1</v>
      </c>
      <c r="E2636" s="64">
        <f t="shared" si="207"/>
        <v>512.93274412928645</v>
      </c>
      <c r="F2636" s="62" t="str">
        <f t="shared" si="208"/>
        <v/>
      </c>
    </row>
    <row r="2637" spans="1:6">
      <c r="A2637" s="60">
        <v>263200</v>
      </c>
      <c r="B2637" s="60">
        <f t="shared" si="206"/>
        <v>5130302</v>
      </c>
      <c r="C2637" s="60">
        <f t="shared" si="209"/>
        <v>5130302</v>
      </c>
      <c r="D2637" s="61">
        <f t="shared" si="205"/>
        <v>1</v>
      </c>
      <c r="E2637" s="64">
        <f t="shared" si="207"/>
        <v>513.03021353522638</v>
      </c>
      <c r="F2637" s="62" t="str">
        <f t="shared" si="208"/>
        <v/>
      </c>
    </row>
    <row r="2638" spans="1:6">
      <c r="A2638" s="60">
        <v>263300</v>
      </c>
      <c r="B2638" s="60">
        <f t="shared" si="206"/>
        <v>5131277</v>
      </c>
      <c r="C2638" s="60">
        <f t="shared" si="209"/>
        <v>5131277</v>
      </c>
      <c r="D2638" s="61">
        <f t="shared" si="205"/>
        <v>1</v>
      </c>
      <c r="E2638" s="64">
        <f t="shared" si="207"/>
        <v>513.12766442669999</v>
      </c>
      <c r="F2638" s="62" t="str">
        <f t="shared" si="208"/>
        <v/>
      </c>
    </row>
    <row r="2639" spans="1:6">
      <c r="A2639" s="60">
        <v>263400</v>
      </c>
      <c r="B2639" s="60">
        <f t="shared" si="206"/>
        <v>5132251</v>
      </c>
      <c r="C2639" s="60">
        <f t="shared" si="209"/>
        <v>5132251</v>
      </c>
      <c r="D2639" s="61">
        <f t="shared" si="205"/>
        <v>1</v>
      </c>
      <c r="E2639" s="64">
        <f t="shared" si="207"/>
        <v>513.22509681425367</v>
      </c>
      <c r="F2639" s="62" t="str">
        <f t="shared" si="208"/>
        <v/>
      </c>
    </row>
    <row r="2640" spans="1:6">
      <c r="A2640" s="60">
        <v>263500</v>
      </c>
      <c r="B2640" s="60">
        <f t="shared" si="206"/>
        <v>5133225</v>
      </c>
      <c r="C2640" s="60">
        <f t="shared" si="209"/>
        <v>5133225</v>
      </c>
      <c r="D2640" s="61">
        <f t="shared" si="205"/>
        <v>1</v>
      </c>
      <c r="E2640" s="64">
        <f t="shared" si="207"/>
        <v>513.32251070842392</v>
      </c>
      <c r="F2640" s="62" t="str">
        <f t="shared" si="208"/>
        <v/>
      </c>
    </row>
    <row r="2641" spans="1:6">
      <c r="A2641" s="60">
        <v>263600</v>
      </c>
      <c r="B2641" s="60">
        <f t="shared" si="206"/>
        <v>5134199</v>
      </c>
      <c r="C2641" s="60">
        <f t="shared" si="209"/>
        <v>5134199</v>
      </c>
      <c r="D2641" s="61">
        <f t="shared" si="205"/>
        <v>1</v>
      </c>
      <c r="E2641" s="64">
        <f t="shared" si="207"/>
        <v>513.41990611973745</v>
      </c>
      <c r="F2641" s="62" t="str">
        <f t="shared" si="208"/>
        <v/>
      </c>
    </row>
    <row r="2642" spans="1:6">
      <c r="A2642" s="60">
        <v>263700</v>
      </c>
      <c r="B2642" s="60">
        <f t="shared" si="206"/>
        <v>5135173</v>
      </c>
      <c r="C2642" s="60">
        <f t="shared" si="209"/>
        <v>5135173</v>
      </c>
      <c r="D2642" s="61">
        <f t="shared" si="205"/>
        <v>1</v>
      </c>
      <c r="E2642" s="64">
        <f t="shared" si="207"/>
        <v>513.51728305871075</v>
      </c>
      <c r="F2642" s="62" t="str">
        <f t="shared" si="208"/>
        <v/>
      </c>
    </row>
    <row r="2643" spans="1:6">
      <c r="A2643" s="60">
        <v>263800</v>
      </c>
      <c r="B2643" s="60">
        <f t="shared" si="206"/>
        <v>5136146</v>
      </c>
      <c r="C2643" s="60">
        <f t="shared" si="209"/>
        <v>5136146</v>
      </c>
      <c r="D2643" s="61">
        <f t="shared" si="205"/>
        <v>1</v>
      </c>
      <c r="E2643" s="64">
        <f t="shared" si="207"/>
        <v>513.6146415358503</v>
      </c>
      <c r="F2643" s="62" t="str">
        <f t="shared" si="208"/>
        <v/>
      </c>
    </row>
    <row r="2644" spans="1:6">
      <c r="A2644" s="60">
        <v>263900</v>
      </c>
      <c r="B2644" s="60">
        <f t="shared" si="206"/>
        <v>5137120</v>
      </c>
      <c r="C2644" s="60">
        <f t="shared" si="209"/>
        <v>5137120</v>
      </c>
      <c r="D2644" s="61">
        <f t="shared" si="205"/>
        <v>1</v>
      </c>
      <c r="E2644" s="64">
        <f t="shared" si="207"/>
        <v>513.71198156165292</v>
      </c>
      <c r="F2644" s="62" t="str">
        <f t="shared" si="208"/>
        <v/>
      </c>
    </row>
    <row r="2645" spans="1:6">
      <c r="A2645" s="60">
        <v>264000</v>
      </c>
      <c r="B2645" s="60">
        <f t="shared" si="206"/>
        <v>5138093</v>
      </c>
      <c r="C2645" s="60">
        <f t="shared" si="209"/>
        <v>5138093</v>
      </c>
      <c r="D2645" s="61">
        <f t="shared" si="205"/>
        <v>1</v>
      </c>
      <c r="E2645" s="64">
        <f t="shared" si="207"/>
        <v>513.8093031466052</v>
      </c>
      <c r="F2645" s="62" t="str">
        <f t="shared" si="208"/>
        <v/>
      </c>
    </row>
    <row r="2646" spans="1:6">
      <c r="A2646" s="60">
        <v>264100</v>
      </c>
      <c r="B2646" s="60">
        <f t="shared" si="206"/>
        <v>5139066</v>
      </c>
      <c r="C2646" s="60">
        <f t="shared" si="209"/>
        <v>5139066</v>
      </c>
      <c r="D2646" s="61">
        <f t="shared" si="205"/>
        <v>1</v>
      </c>
      <c r="E2646" s="64">
        <f t="shared" si="207"/>
        <v>513.90660630118384</v>
      </c>
      <c r="F2646" s="62" t="str">
        <f t="shared" si="208"/>
        <v/>
      </c>
    </row>
    <row r="2647" spans="1:6">
      <c r="A2647" s="60">
        <v>264200</v>
      </c>
      <c r="B2647" s="60">
        <f t="shared" si="206"/>
        <v>5140039</v>
      </c>
      <c r="C2647" s="60">
        <f t="shared" si="209"/>
        <v>5140039</v>
      </c>
      <c r="D2647" s="61">
        <f t="shared" si="205"/>
        <v>1</v>
      </c>
      <c r="E2647" s="64">
        <f t="shared" si="207"/>
        <v>514.00389103585587</v>
      </c>
      <c r="F2647" s="62" t="str">
        <f t="shared" si="208"/>
        <v/>
      </c>
    </row>
    <row r="2648" spans="1:6">
      <c r="A2648" s="60">
        <v>264300</v>
      </c>
      <c r="B2648" s="60">
        <f t="shared" si="206"/>
        <v>5141012</v>
      </c>
      <c r="C2648" s="60">
        <f t="shared" si="209"/>
        <v>5141012</v>
      </c>
      <c r="D2648" s="61">
        <f t="shared" si="205"/>
        <v>1</v>
      </c>
      <c r="E2648" s="64">
        <f t="shared" si="207"/>
        <v>514.10115736107809</v>
      </c>
      <c r="F2648" s="62" t="str">
        <f t="shared" si="208"/>
        <v/>
      </c>
    </row>
    <row r="2649" spans="1:6">
      <c r="A2649" s="60">
        <v>264400</v>
      </c>
      <c r="B2649" s="60">
        <f t="shared" si="206"/>
        <v>5141984</v>
      </c>
      <c r="C2649" s="60">
        <f t="shared" si="209"/>
        <v>5141984</v>
      </c>
      <c r="D2649" s="61">
        <f t="shared" si="205"/>
        <v>1</v>
      </c>
      <c r="E2649" s="64">
        <f t="shared" si="207"/>
        <v>514.19840528729765</v>
      </c>
      <c r="F2649" s="62" t="str">
        <f t="shared" si="208"/>
        <v/>
      </c>
    </row>
    <row r="2650" spans="1:6">
      <c r="A2650" s="60">
        <v>264500</v>
      </c>
      <c r="B2650" s="60">
        <f t="shared" si="206"/>
        <v>5142956</v>
      </c>
      <c r="C2650" s="60">
        <f t="shared" si="209"/>
        <v>5142956</v>
      </c>
      <c r="D2650" s="61">
        <f t="shared" si="205"/>
        <v>1</v>
      </c>
      <c r="E2650" s="64">
        <f t="shared" si="207"/>
        <v>514.29563482495166</v>
      </c>
      <c r="F2650" s="62" t="str">
        <f t="shared" si="208"/>
        <v/>
      </c>
    </row>
    <row r="2651" spans="1:6">
      <c r="A2651" s="60">
        <v>264600</v>
      </c>
      <c r="B2651" s="60">
        <f t="shared" si="206"/>
        <v>5143928</v>
      </c>
      <c r="C2651" s="60">
        <f t="shared" si="209"/>
        <v>5143928</v>
      </c>
      <c r="D2651" s="61">
        <f t="shared" si="205"/>
        <v>1</v>
      </c>
      <c r="E2651" s="64">
        <f t="shared" si="207"/>
        <v>514.39284598446739</v>
      </c>
      <c r="F2651" s="62" t="str">
        <f t="shared" si="208"/>
        <v/>
      </c>
    </row>
    <row r="2652" spans="1:6">
      <c r="A2652" s="60">
        <v>264700</v>
      </c>
      <c r="B2652" s="60">
        <f t="shared" si="206"/>
        <v>5144900</v>
      </c>
      <c r="C2652" s="60">
        <f t="shared" si="209"/>
        <v>5144900</v>
      </c>
      <c r="D2652" s="61">
        <f t="shared" si="205"/>
        <v>1</v>
      </c>
      <c r="E2652" s="64">
        <f t="shared" si="207"/>
        <v>514.4900387762624</v>
      </c>
      <c r="F2652" s="62" t="str">
        <f t="shared" si="208"/>
        <v/>
      </c>
    </row>
    <row r="2653" spans="1:6">
      <c r="A2653" s="60">
        <v>264800</v>
      </c>
      <c r="B2653" s="60">
        <f t="shared" si="206"/>
        <v>5145872</v>
      </c>
      <c r="C2653" s="60">
        <f t="shared" si="209"/>
        <v>5145872</v>
      </c>
      <c r="D2653" s="61">
        <f t="shared" si="205"/>
        <v>1</v>
      </c>
      <c r="E2653" s="64">
        <f t="shared" si="207"/>
        <v>514.58721321074427</v>
      </c>
      <c r="F2653" s="62" t="str">
        <f t="shared" si="208"/>
        <v/>
      </c>
    </row>
    <row r="2654" spans="1:6">
      <c r="A2654" s="60">
        <v>264900</v>
      </c>
      <c r="B2654" s="60">
        <f t="shared" si="206"/>
        <v>5146844</v>
      </c>
      <c r="C2654" s="60">
        <f t="shared" si="209"/>
        <v>5146844</v>
      </c>
      <c r="D2654" s="61">
        <f t="shared" si="205"/>
        <v>1</v>
      </c>
      <c r="E2654" s="64">
        <f t="shared" si="207"/>
        <v>514.6843692983108</v>
      </c>
      <c r="F2654" s="62" t="str">
        <f t="shared" si="208"/>
        <v/>
      </c>
    </row>
    <row r="2655" spans="1:6">
      <c r="A2655" s="60">
        <v>265000</v>
      </c>
      <c r="B2655" s="60">
        <f t="shared" si="206"/>
        <v>5147815</v>
      </c>
      <c r="C2655" s="60">
        <f t="shared" si="209"/>
        <v>5147815</v>
      </c>
      <c r="D2655" s="61">
        <f t="shared" si="205"/>
        <v>1</v>
      </c>
      <c r="E2655" s="64">
        <f t="shared" si="207"/>
        <v>514.78150704935001</v>
      </c>
      <c r="F2655" s="62" t="str">
        <f t="shared" si="208"/>
        <v/>
      </c>
    </row>
    <row r="2656" spans="1:6">
      <c r="A2656" s="60">
        <v>265100</v>
      </c>
      <c r="B2656" s="60">
        <f t="shared" si="206"/>
        <v>5148786</v>
      </c>
      <c r="C2656" s="60">
        <f t="shared" si="209"/>
        <v>5148786</v>
      </c>
      <c r="D2656" s="61">
        <f t="shared" si="205"/>
        <v>1</v>
      </c>
      <c r="E2656" s="64">
        <f t="shared" si="207"/>
        <v>514.87862647424004</v>
      </c>
      <c r="F2656" s="62" t="str">
        <f t="shared" si="208"/>
        <v/>
      </c>
    </row>
    <row r="2657" spans="1:6">
      <c r="A2657" s="60">
        <v>265200</v>
      </c>
      <c r="B2657" s="60">
        <f t="shared" si="206"/>
        <v>5149757</v>
      </c>
      <c r="C2657" s="60">
        <f t="shared" si="209"/>
        <v>5149757</v>
      </c>
      <c r="D2657" s="61">
        <f t="shared" si="205"/>
        <v>1</v>
      </c>
      <c r="E2657" s="64">
        <f t="shared" si="207"/>
        <v>514.97572758334934</v>
      </c>
      <c r="F2657" s="62" t="str">
        <f t="shared" si="208"/>
        <v/>
      </c>
    </row>
    <row r="2658" spans="1:6">
      <c r="A2658" s="60">
        <v>265300</v>
      </c>
      <c r="B2658" s="60">
        <f t="shared" si="206"/>
        <v>5150728</v>
      </c>
      <c r="C2658" s="60">
        <f t="shared" si="209"/>
        <v>5150728</v>
      </c>
      <c r="D2658" s="61">
        <f t="shared" si="205"/>
        <v>1</v>
      </c>
      <c r="E2658" s="64">
        <f t="shared" si="207"/>
        <v>515.0728103870365</v>
      </c>
      <c r="F2658" s="62" t="str">
        <f t="shared" si="208"/>
        <v/>
      </c>
    </row>
    <row r="2659" spans="1:6">
      <c r="A2659" s="60">
        <v>265400</v>
      </c>
      <c r="B2659" s="60">
        <f t="shared" si="206"/>
        <v>5151699</v>
      </c>
      <c r="C2659" s="60">
        <f t="shared" si="209"/>
        <v>5151699</v>
      </c>
      <c r="D2659" s="61">
        <f t="shared" si="205"/>
        <v>1</v>
      </c>
      <c r="E2659" s="64">
        <f t="shared" si="207"/>
        <v>515.16987489565031</v>
      </c>
      <c r="F2659" s="62" t="str">
        <f t="shared" si="208"/>
        <v/>
      </c>
    </row>
    <row r="2660" spans="1:6">
      <c r="A2660" s="60">
        <v>265500</v>
      </c>
      <c r="B2660" s="60">
        <f t="shared" si="206"/>
        <v>5152669</v>
      </c>
      <c r="C2660" s="60">
        <f t="shared" si="209"/>
        <v>5152669</v>
      </c>
      <c r="D2660" s="61">
        <f t="shared" si="205"/>
        <v>1</v>
      </c>
      <c r="E2660" s="64">
        <f t="shared" si="207"/>
        <v>515.26692111953002</v>
      </c>
      <c r="F2660" s="62" t="str">
        <f t="shared" si="208"/>
        <v/>
      </c>
    </row>
    <row r="2661" spans="1:6">
      <c r="A2661" s="60">
        <v>265600</v>
      </c>
      <c r="B2661" s="60">
        <f t="shared" si="206"/>
        <v>5153639</v>
      </c>
      <c r="C2661" s="60">
        <f t="shared" si="209"/>
        <v>5153639</v>
      </c>
      <c r="D2661" s="61">
        <f t="shared" si="205"/>
        <v>1</v>
      </c>
      <c r="E2661" s="64">
        <f t="shared" si="207"/>
        <v>515.363949069005</v>
      </c>
      <c r="F2661" s="62" t="str">
        <f t="shared" si="208"/>
        <v/>
      </c>
    </row>
    <row r="2662" spans="1:6">
      <c r="A2662" s="60">
        <v>265700</v>
      </c>
      <c r="B2662" s="60">
        <f t="shared" si="206"/>
        <v>5154610</v>
      </c>
      <c r="C2662" s="60">
        <f t="shared" si="209"/>
        <v>5154610</v>
      </c>
      <c r="D2662" s="61">
        <f t="shared" si="205"/>
        <v>1</v>
      </c>
      <c r="E2662" s="64">
        <f t="shared" si="207"/>
        <v>515.46095875439494</v>
      </c>
      <c r="F2662" s="62" t="str">
        <f t="shared" si="208"/>
        <v/>
      </c>
    </row>
    <row r="2663" spans="1:6">
      <c r="A2663" s="60">
        <v>265800</v>
      </c>
      <c r="B2663" s="60">
        <f t="shared" si="206"/>
        <v>5155580</v>
      </c>
      <c r="C2663" s="60">
        <f t="shared" si="209"/>
        <v>5155580</v>
      </c>
      <c r="D2663" s="61">
        <f t="shared" si="205"/>
        <v>1</v>
      </c>
      <c r="E2663" s="64">
        <f t="shared" si="207"/>
        <v>515.55795018600963</v>
      </c>
      <c r="F2663" s="62" t="str">
        <f t="shared" si="208"/>
        <v/>
      </c>
    </row>
    <row r="2664" spans="1:6">
      <c r="A2664" s="60">
        <v>265900</v>
      </c>
      <c r="B2664" s="60">
        <f t="shared" si="206"/>
        <v>5156549</v>
      </c>
      <c r="C2664" s="60">
        <f t="shared" si="209"/>
        <v>5156549</v>
      </c>
      <c r="D2664" s="61">
        <f t="shared" si="205"/>
        <v>1</v>
      </c>
      <c r="E2664" s="64">
        <f t="shared" si="207"/>
        <v>515.65492337414946</v>
      </c>
      <c r="F2664" s="62" t="str">
        <f t="shared" si="208"/>
        <v/>
      </c>
    </row>
    <row r="2665" spans="1:6">
      <c r="A2665" s="60">
        <v>266000</v>
      </c>
      <c r="B2665" s="60">
        <f t="shared" si="206"/>
        <v>5157519</v>
      </c>
      <c r="C2665" s="60">
        <f t="shared" si="209"/>
        <v>5157519</v>
      </c>
      <c r="D2665" s="61">
        <f t="shared" si="205"/>
        <v>1</v>
      </c>
      <c r="E2665" s="64">
        <f t="shared" si="207"/>
        <v>515.75187832910512</v>
      </c>
      <c r="F2665" s="62" t="str">
        <f t="shared" si="208"/>
        <v/>
      </c>
    </row>
    <row r="2666" spans="1:6">
      <c r="A2666" s="60">
        <v>266100</v>
      </c>
      <c r="B2666" s="60">
        <f t="shared" si="206"/>
        <v>5158488</v>
      </c>
      <c r="C2666" s="60">
        <f t="shared" si="209"/>
        <v>5158488</v>
      </c>
      <c r="D2666" s="61">
        <f t="shared" si="205"/>
        <v>1</v>
      </c>
      <c r="E2666" s="64">
        <f t="shared" si="207"/>
        <v>515.84881506115721</v>
      </c>
      <c r="F2666" s="62" t="str">
        <f t="shared" si="208"/>
        <v/>
      </c>
    </row>
    <row r="2667" spans="1:6">
      <c r="A2667" s="60">
        <v>266200</v>
      </c>
      <c r="B2667" s="60">
        <f t="shared" si="206"/>
        <v>5159457</v>
      </c>
      <c r="C2667" s="60">
        <f t="shared" si="209"/>
        <v>5159457</v>
      </c>
      <c r="D2667" s="61">
        <f t="shared" si="205"/>
        <v>1</v>
      </c>
      <c r="E2667" s="64">
        <f t="shared" si="207"/>
        <v>515.94573358057721</v>
      </c>
      <c r="F2667" s="62" t="str">
        <f t="shared" si="208"/>
        <v/>
      </c>
    </row>
    <row r="2668" spans="1:6">
      <c r="A2668" s="60">
        <v>266300</v>
      </c>
      <c r="B2668" s="60">
        <f t="shared" si="206"/>
        <v>5160426</v>
      </c>
      <c r="C2668" s="60">
        <f t="shared" si="209"/>
        <v>5160426</v>
      </c>
      <c r="D2668" s="61">
        <f t="shared" si="205"/>
        <v>1</v>
      </c>
      <c r="E2668" s="64">
        <f t="shared" si="207"/>
        <v>516.04263389762673</v>
      </c>
      <c r="F2668" s="62" t="str">
        <f t="shared" si="208"/>
        <v/>
      </c>
    </row>
    <row r="2669" spans="1:6">
      <c r="A2669" s="60">
        <v>266400</v>
      </c>
      <c r="B2669" s="60">
        <f t="shared" si="206"/>
        <v>5161395</v>
      </c>
      <c r="C2669" s="60">
        <f t="shared" si="209"/>
        <v>5161395</v>
      </c>
      <c r="D2669" s="61">
        <f t="shared" si="205"/>
        <v>1</v>
      </c>
      <c r="E2669" s="64">
        <f t="shared" si="207"/>
        <v>516.13951602255759</v>
      </c>
      <c r="F2669" s="62" t="str">
        <f t="shared" si="208"/>
        <v/>
      </c>
    </row>
    <row r="2670" spans="1:6">
      <c r="A2670" s="60">
        <v>266500</v>
      </c>
      <c r="B2670" s="60">
        <f t="shared" si="206"/>
        <v>5162364</v>
      </c>
      <c r="C2670" s="60">
        <f t="shared" si="209"/>
        <v>5162364</v>
      </c>
      <c r="D2670" s="61">
        <f t="shared" si="205"/>
        <v>1</v>
      </c>
      <c r="E2670" s="64">
        <f t="shared" si="207"/>
        <v>516.23637996561229</v>
      </c>
      <c r="F2670" s="62" t="str">
        <f t="shared" si="208"/>
        <v/>
      </c>
    </row>
    <row r="2671" spans="1:6">
      <c r="A2671" s="60">
        <v>266600</v>
      </c>
      <c r="B2671" s="60">
        <f t="shared" si="206"/>
        <v>5163332</v>
      </c>
      <c r="C2671" s="60">
        <f t="shared" si="209"/>
        <v>5163332</v>
      </c>
      <c r="D2671" s="61">
        <f t="shared" si="205"/>
        <v>1</v>
      </c>
      <c r="E2671" s="64">
        <f t="shared" si="207"/>
        <v>516.33322573702344</v>
      </c>
      <c r="F2671" s="62" t="str">
        <f t="shared" si="208"/>
        <v/>
      </c>
    </row>
    <row r="2672" spans="1:6">
      <c r="A2672" s="60">
        <v>266700</v>
      </c>
      <c r="B2672" s="60">
        <f t="shared" si="206"/>
        <v>5164301</v>
      </c>
      <c r="C2672" s="60">
        <f t="shared" si="209"/>
        <v>5164301</v>
      </c>
      <c r="D2672" s="61">
        <f t="shared" si="205"/>
        <v>1</v>
      </c>
      <c r="E2672" s="64">
        <f t="shared" si="207"/>
        <v>516.43005334701422</v>
      </c>
      <c r="F2672" s="62" t="str">
        <f t="shared" si="208"/>
        <v/>
      </c>
    </row>
    <row r="2673" spans="1:6">
      <c r="A2673" s="60">
        <v>266800</v>
      </c>
      <c r="B2673" s="60">
        <f t="shared" si="206"/>
        <v>5165269</v>
      </c>
      <c r="C2673" s="60">
        <f t="shared" si="209"/>
        <v>5165269</v>
      </c>
      <c r="D2673" s="61">
        <f t="shared" si="205"/>
        <v>1</v>
      </c>
      <c r="E2673" s="64">
        <f t="shared" si="207"/>
        <v>516.52686280579837</v>
      </c>
      <c r="F2673" s="62" t="str">
        <f t="shared" si="208"/>
        <v/>
      </c>
    </row>
    <row r="2674" spans="1:6">
      <c r="A2674" s="60">
        <v>266900</v>
      </c>
      <c r="B2674" s="60">
        <f t="shared" si="206"/>
        <v>5166237</v>
      </c>
      <c r="C2674" s="60">
        <f t="shared" si="209"/>
        <v>5166237</v>
      </c>
      <c r="D2674" s="61">
        <f t="shared" si="205"/>
        <v>1</v>
      </c>
      <c r="E2674" s="64">
        <f t="shared" si="207"/>
        <v>516.62365412357963</v>
      </c>
      <c r="F2674" s="62" t="str">
        <f t="shared" si="208"/>
        <v/>
      </c>
    </row>
    <row r="2675" spans="1:6">
      <c r="A2675" s="60">
        <v>267000</v>
      </c>
      <c r="B2675" s="60">
        <f t="shared" si="206"/>
        <v>5167204</v>
      </c>
      <c r="C2675" s="60">
        <f t="shared" si="209"/>
        <v>5167204</v>
      </c>
      <c r="D2675" s="61">
        <f t="shared" si="205"/>
        <v>1</v>
      </c>
      <c r="E2675" s="64">
        <f t="shared" si="207"/>
        <v>516.72042731055251</v>
      </c>
      <c r="F2675" s="62" t="str">
        <f t="shared" si="208"/>
        <v/>
      </c>
    </row>
    <row r="2676" spans="1:6">
      <c r="A2676" s="60">
        <v>267100</v>
      </c>
      <c r="B2676" s="60">
        <f t="shared" si="206"/>
        <v>5168172</v>
      </c>
      <c r="C2676" s="60">
        <f t="shared" si="209"/>
        <v>5168172</v>
      </c>
      <c r="D2676" s="61">
        <f t="shared" si="205"/>
        <v>1</v>
      </c>
      <c r="E2676" s="64">
        <f t="shared" si="207"/>
        <v>516.817182376902</v>
      </c>
      <c r="F2676" s="62" t="str">
        <f t="shared" si="208"/>
        <v/>
      </c>
    </row>
    <row r="2677" spans="1:6">
      <c r="A2677" s="60">
        <v>267200</v>
      </c>
      <c r="B2677" s="60">
        <f t="shared" si="206"/>
        <v>5169139</v>
      </c>
      <c r="C2677" s="60">
        <f t="shared" si="209"/>
        <v>5169139</v>
      </c>
      <c r="D2677" s="61">
        <f t="shared" si="205"/>
        <v>1</v>
      </c>
      <c r="E2677" s="64">
        <f t="shared" si="207"/>
        <v>516.9139193328034</v>
      </c>
      <c r="F2677" s="62" t="str">
        <f t="shared" si="208"/>
        <v/>
      </c>
    </row>
    <row r="2678" spans="1:6">
      <c r="A2678" s="60">
        <v>267300</v>
      </c>
      <c r="B2678" s="60">
        <f t="shared" si="206"/>
        <v>5170106</v>
      </c>
      <c r="C2678" s="60">
        <f t="shared" si="209"/>
        <v>5170106</v>
      </c>
      <c r="D2678" s="61">
        <f t="shared" si="205"/>
        <v>1</v>
      </c>
      <c r="E2678" s="64">
        <f t="shared" si="207"/>
        <v>517.0106381884226</v>
      </c>
      <c r="F2678" s="62" t="str">
        <f t="shared" si="208"/>
        <v/>
      </c>
    </row>
    <row r="2679" spans="1:6">
      <c r="A2679" s="60">
        <v>267400</v>
      </c>
      <c r="B2679" s="60">
        <f t="shared" si="206"/>
        <v>5171073</v>
      </c>
      <c r="C2679" s="60">
        <f t="shared" si="209"/>
        <v>5171073</v>
      </c>
      <c r="D2679" s="61">
        <f t="shared" si="205"/>
        <v>1</v>
      </c>
      <c r="E2679" s="64">
        <f t="shared" si="207"/>
        <v>517.10733895391581</v>
      </c>
      <c r="F2679" s="62" t="str">
        <f t="shared" si="208"/>
        <v/>
      </c>
    </row>
    <row r="2680" spans="1:6">
      <c r="A2680" s="60">
        <v>267500</v>
      </c>
      <c r="B2680" s="60">
        <f t="shared" si="206"/>
        <v>5172040</v>
      </c>
      <c r="C2680" s="60">
        <f t="shared" si="209"/>
        <v>5172040</v>
      </c>
      <c r="D2680" s="61">
        <f t="shared" si="205"/>
        <v>1</v>
      </c>
      <c r="E2680" s="64">
        <f t="shared" si="207"/>
        <v>517.20402163943004</v>
      </c>
      <c r="F2680" s="62" t="str">
        <f t="shared" si="208"/>
        <v/>
      </c>
    </row>
    <row r="2681" spans="1:6">
      <c r="A2681" s="60">
        <v>267600</v>
      </c>
      <c r="B2681" s="60">
        <f t="shared" si="206"/>
        <v>5173007</v>
      </c>
      <c r="C2681" s="60">
        <f t="shared" si="209"/>
        <v>5173007</v>
      </c>
      <c r="D2681" s="61">
        <f t="shared" si="205"/>
        <v>1</v>
      </c>
      <c r="E2681" s="64">
        <f t="shared" si="207"/>
        <v>517.30068625510251</v>
      </c>
      <c r="F2681" s="62" t="str">
        <f t="shared" si="208"/>
        <v/>
      </c>
    </row>
    <row r="2682" spans="1:6">
      <c r="A2682" s="60">
        <v>267700</v>
      </c>
      <c r="B2682" s="60">
        <f t="shared" si="206"/>
        <v>5173973</v>
      </c>
      <c r="C2682" s="60">
        <f t="shared" si="209"/>
        <v>5173973</v>
      </c>
      <c r="D2682" s="61">
        <f t="shared" si="205"/>
        <v>1</v>
      </c>
      <c r="E2682" s="64">
        <f t="shared" si="207"/>
        <v>517.39733281106112</v>
      </c>
      <c r="F2682" s="62" t="str">
        <f t="shared" si="208"/>
        <v/>
      </c>
    </row>
    <row r="2683" spans="1:6">
      <c r="A2683" s="60">
        <v>267800</v>
      </c>
      <c r="B2683" s="60">
        <f t="shared" si="206"/>
        <v>5174940</v>
      </c>
      <c r="C2683" s="60">
        <f t="shared" si="209"/>
        <v>5174940</v>
      </c>
      <c r="D2683" s="61">
        <f t="shared" si="205"/>
        <v>1</v>
      </c>
      <c r="E2683" s="64">
        <f t="shared" si="207"/>
        <v>517.49396131742446</v>
      </c>
      <c r="F2683" s="62" t="str">
        <f t="shared" si="208"/>
        <v/>
      </c>
    </row>
    <row r="2684" spans="1:6">
      <c r="A2684" s="60">
        <v>267900</v>
      </c>
      <c r="B2684" s="60">
        <f t="shared" si="206"/>
        <v>5175906</v>
      </c>
      <c r="C2684" s="60">
        <f t="shared" si="209"/>
        <v>5175906</v>
      </c>
      <c r="D2684" s="61">
        <f t="shared" si="205"/>
        <v>1</v>
      </c>
      <c r="E2684" s="64">
        <f t="shared" si="207"/>
        <v>517.59057178430135</v>
      </c>
      <c r="F2684" s="62" t="str">
        <f t="shared" si="208"/>
        <v/>
      </c>
    </row>
    <row r="2685" spans="1:6">
      <c r="A2685" s="60">
        <v>268000</v>
      </c>
      <c r="B2685" s="60">
        <f t="shared" si="206"/>
        <v>5176872</v>
      </c>
      <c r="C2685" s="60">
        <f t="shared" si="209"/>
        <v>5176872</v>
      </c>
      <c r="D2685" s="61">
        <f t="shared" si="205"/>
        <v>1</v>
      </c>
      <c r="E2685" s="64">
        <f t="shared" si="207"/>
        <v>517.68716422179136</v>
      </c>
      <c r="F2685" s="62" t="str">
        <f t="shared" si="208"/>
        <v/>
      </c>
    </row>
    <row r="2686" spans="1:6">
      <c r="A2686" s="60">
        <v>268100</v>
      </c>
      <c r="B2686" s="60">
        <f t="shared" si="206"/>
        <v>5177837</v>
      </c>
      <c r="C2686" s="60">
        <f t="shared" si="209"/>
        <v>5177837</v>
      </c>
      <c r="D2686" s="61">
        <f t="shared" si="205"/>
        <v>1</v>
      </c>
      <c r="E2686" s="64">
        <f t="shared" si="207"/>
        <v>517.78373863998468</v>
      </c>
      <c r="F2686" s="62" t="str">
        <f t="shared" si="208"/>
        <v/>
      </c>
    </row>
    <row r="2687" spans="1:6">
      <c r="A2687" s="60">
        <v>268200</v>
      </c>
      <c r="B2687" s="60">
        <f t="shared" si="206"/>
        <v>5178803</v>
      </c>
      <c r="C2687" s="60">
        <f t="shared" si="209"/>
        <v>5178803</v>
      </c>
      <c r="D2687" s="61">
        <f t="shared" si="205"/>
        <v>1</v>
      </c>
      <c r="E2687" s="64">
        <f t="shared" si="207"/>
        <v>517.88029504896201</v>
      </c>
      <c r="F2687" s="62" t="str">
        <f t="shared" si="208"/>
        <v/>
      </c>
    </row>
    <row r="2688" spans="1:6">
      <c r="A2688" s="60">
        <v>268300</v>
      </c>
      <c r="B2688" s="60">
        <f t="shared" si="206"/>
        <v>5179768</v>
      </c>
      <c r="C2688" s="60">
        <f t="shared" si="209"/>
        <v>5179768</v>
      </c>
      <c r="D2688" s="61">
        <f t="shared" si="205"/>
        <v>1</v>
      </c>
      <c r="E2688" s="64">
        <f t="shared" si="207"/>
        <v>517.97683345879477</v>
      </c>
      <c r="F2688" s="62" t="str">
        <f t="shared" si="208"/>
        <v/>
      </c>
    </row>
    <row r="2689" spans="1:6">
      <c r="A2689" s="60">
        <v>268400</v>
      </c>
      <c r="B2689" s="60">
        <f t="shared" si="206"/>
        <v>5180734</v>
      </c>
      <c r="C2689" s="60">
        <f t="shared" si="209"/>
        <v>5180734</v>
      </c>
      <c r="D2689" s="61">
        <f t="shared" si="205"/>
        <v>1</v>
      </c>
      <c r="E2689" s="64">
        <f t="shared" si="207"/>
        <v>518.0733538795447</v>
      </c>
      <c r="F2689" s="62" t="str">
        <f t="shared" si="208"/>
        <v/>
      </c>
    </row>
    <row r="2690" spans="1:6">
      <c r="A2690" s="60">
        <v>268500</v>
      </c>
      <c r="B2690" s="60">
        <f t="shared" si="206"/>
        <v>5181699</v>
      </c>
      <c r="C2690" s="60">
        <f t="shared" si="209"/>
        <v>5181699</v>
      </c>
      <c r="D2690" s="61">
        <f t="shared" si="205"/>
        <v>1</v>
      </c>
      <c r="E2690" s="64">
        <f t="shared" si="207"/>
        <v>518.16985632126455</v>
      </c>
      <c r="F2690" s="62" t="str">
        <f t="shared" si="208"/>
        <v/>
      </c>
    </row>
    <row r="2691" spans="1:6">
      <c r="A2691" s="60">
        <v>268600</v>
      </c>
      <c r="B2691" s="60">
        <f t="shared" si="206"/>
        <v>5182663</v>
      </c>
      <c r="C2691" s="60">
        <f t="shared" si="209"/>
        <v>5182663</v>
      </c>
      <c r="D2691" s="61">
        <f t="shared" si="205"/>
        <v>1</v>
      </c>
      <c r="E2691" s="64">
        <f t="shared" si="207"/>
        <v>518.26634079399753</v>
      </c>
      <c r="F2691" s="62" t="str">
        <f t="shared" si="208"/>
        <v/>
      </c>
    </row>
    <row r="2692" spans="1:6">
      <c r="A2692" s="60">
        <v>268700</v>
      </c>
      <c r="B2692" s="60">
        <f t="shared" si="206"/>
        <v>5183628</v>
      </c>
      <c r="C2692" s="60">
        <f t="shared" si="209"/>
        <v>5183628</v>
      </c>
      <c r="D2692" s="61">
        <f t="shared" si="205"/>
        <v>1</v>
      </c>
      <c r="E2692" s="64">
        <f t="shared" si="207"/>
        <v>518.36280730777742</v>
      </c>
      <c r="F2692" s="62" t="str">
        <f t="shared" si="208"/>
        <v/>
      </c>
    </row>
    <row r="2693" spans="1:6">
      <c r="A2693" s="60">
        <v>268800</v>
      </c>
      <c r="B2693" s="60">
        <f t="shared" si="206"/>
        <v>5184593</v>
      </c>
      <c r="C2693" s="60">
        <f t="shared" si="209"/>
        <v>5184593</v>
      </c>
      <c r="D2693" s="61">
        <f t="shared" ref="D2693:D2756" si="210">(A2693-INDEX(兵力区间,MATCH(A2693,兵力区间,1)))/(INDEX(兵力区间,MATCH(A2693,兵力区间,1)+1)-INDEX(兵力区间,MATCH(A2693,兵力区间,1)))*((INDEX(兵力调节,MATCH(A2693,兵力区间,1)+1,2)-INDEX(兵力调节,MATCH(A2693,兵力区间,1),2)))+INDEX(兵力调节,MATCH(A2693,兵力区间,1),2)</f>
        <v>1</v>
      </c>
      <c r="E2693" s="64">
        <f t="shared" si="207"/>
        <v>518.45925587262877</v>
      </c>
      <c r="F2693" s="62" t="str">
        <f t="shared" si="208"/>
        <v/>
      </c>
    </row>
    <row r="2694" spans="1:6">
      <c r="A2694" s="60">
        <v>268900</v>
      </c>
      <c r="B2694" s="60">
        <f t="shared" si="206"/>
        <v>5185557</v>
      </c>
      <c r="C2694" s="60">
        <f t="shared" si="209"/>
        <v>5185557</v>
      </c>
      <c r="D2694" s="61">
        <f t="shared" si="210"/>
        <v>1</v>
      </c>
      <c r="E2694" s="64">
        <f t="shared" si="207"/>
        <v>518.55568649856696</v>
      </c>
      <c r="F2694" s="62" t="str">
        <f t="shared" si="208"/>
        <v/>
      </c>
    </row>
    <row r="2695" spans="1:6">
      <c r="A2695" s="60">
        <v>269000</v>
      </c>
      <c r="B2695" s="60">
        <f t="shared" ref="B2695:B2758" si="211">ROUND(D2695*E2695*10000,0)</f>
        <v>5186521</v>
      </c>
      <c r="C2695" s="60">
        <f t="shared" si="209"/>
        <v>5186521</v>
      </c>
      <c r="D2695" s="61">
        <f t="shared" si="210"/>
        <v>1</v>
      </c>
      <c r="E2695" s="64">
        <f t="shared" ref="E2695:E2758" si="212">A2695^0.5</f>
        <v>518.65209919559754</v>
      </c>
      <c r="F2695" s="62" t="str">
        <f t="shared" si="208"/>
        <v/>
      </c>
    </row>
    <row r="2696" spans="1:6">
      <c r="A2696" s="60">
        <v>269100</v>
      </c>
      <c r="B2696" s="60">
        <f t="shared" si="211"/>
        <v>5187485</v>
      </c>
      <c r="C2696" s="60">
        <f t="shared" si="209"/>
        <v>5187485</v>
      </c>
      <c r="D2696" s="61">
        <f t="shared" si="210"/>
        <v>1</v>
      </c>
      <c r="E2696" s="64">
        <f t="shared" si="212"/>
        <v>518.74849397371747</v>
      </c>
      <c r="F2696" s="62" t="str">
        <f t="shared" ref="F2696:F2759" si="213">IF(B2696&lt;B2695,1,"")</f>
        <v/>
      </c>
    </row>
    <row r="2697" spans="1:6">
      <c r="A2697" s="60">
        <v>269200</v>
      </c>
      <c r="B2697" s="60">
        <f t="shared" si="211"/>
        <v>5188449</v>
      </c>
      <c r="C2697" s="60">
        <f t="shared" si="209"/>
        <v>5188449</v>
      </c>
      <c r="D2697" s="61">
        <f t="shared" si="210"/>
        <v>1</v>
      </c>
      <c r="E2697" s="64">
        <f t="shared" si="212"/>
        <v>518.84487084291391</v>
      </c>
      <c r="F2697" s="62" t="str">
        <f t="shared" si="213"/>
        <v/>
      </c>
    </row>
    <row r="2698" spans="1:6">
      <c r="A2698" s="60">
        <v>269300</v>
      </c>
      <c r="B2698" s="60">
        <f t="shared" si="211"/>
        <v>5189412</v>
      </c>
      <c r="C2698" s="60">
        <f t="shared" si="209"/>
        <v>5189412</v>
      </c>
      <c r="D2698" s="61">
        <f t="shared" si="210"/>
        <v>1</v>
      </c>
      <c r="E2698" s="64">
        <f t="shared" si="212"/>
        <v>518.94122981316491</v>
      </c>
      <c r="F2698" s="62" t="str">
        <f t="shared" si="213"/>
        <v/>
      </c>
    </row>
    <row r="2699" spans="1:6">
      <c r="A2699" s="60">
        <v>269400</v>
      </c>
      <c r="B2699" s="60">
        <f t="shared" si="211"/>
        <v>5190376</v>
      </c>
      <c r="C2699" s="60">
        <f t="shared" ref="C2699:C2762" si="214">ROUND(D2699*E2699*10000,0)</f>
        <v>5190376</v>
      </c>
      <c r="D2699" s="61">
        <f t="shared" si="210"/>
        <v>1</v>
      </c>
      <c r="E2699" s="64">
        <f t="shared" si="212"/>
        <v>519.03757089443923</v>
      </c>
      <c r="F2699" s="62" t="str">
        <f t="shared" si="213"/>
        <v/>
      </c>
    </row>
    <row r="2700" spans="1:6">
      <c r="A2700" s="60">
        <v>269500</v>
      </c>
      <c r="B2700" s="60">
        <f t="shared" si="211"/>
        <v>5191339</v>
      </c>
      <c r="C2700" s="60">
        <f t="shared" si="214"/>
        <v>5191339</v>
      </c>
      <c r="D2700" s="61">
        <f t="shared" si="210"/>
        <v>1</v>
      </c>
      <c r="E2700" s="64">
        <f t="shared" si="212"/>
        <v>519.13389409669639</v>
      </c>
      <c r="F2700" s="62" t="str">
        <f t="shared" si="213"/>
        <v/>
      </c>
    </row>
    <row r="2701" spans="1:6">
      <c r="A2701" s="60">
        <v>269600</v>
      </c>
      <c r="B2701" s="60">
        <f t="shared" si="211"/>
        <v>5192302</v>
      </c>
      <c r="C2701" s="60">
        <f t="shared" si="214"/>
        <v>5192302</v>
      </c>
      <c r="D2701" s="61">
        <f t="shared" si="210"/>
        <v>1</v>
      </c>
      <c r="E2701" s="64">
        <f t="shared" si="212"/>
        <v>519.23019942988674</v>
      </c>
      <c r="F2701" s="62" t="str">
        <f t="shared" si="213"/>
        <v/>
      </c>
    </row>
    <row r="2702" spans="1:6">
      <c r="A2702" s="60">
        <v>269700</v>
      </c>
      <c r="B2702" s="60">
        <f t="shared" si="211"/>
        <v>5193265</v>
      </c>
      <c r="C2702" s="60">
        <f t="shared" si="214"/>
        <v>5193265</v>
      </c>
      <c r="D2702" s="61">
        <f t="shared" si="210"/>
        <v>1</v>
      </c>
      <c r="E2702" s="64">
        <f t="shared" si="212"/>
        <v>519.32648690395138</v>
      </c>
      <c r="F2702" s="62" t="str">
        <f t="shared" si="213"/>
        <v/>
      </c>
    </row>
    <row r="2703" spans="1:6">
      <c r="A2703" s="60">
        <v>269800</v>
      </c>
      <c r="B2703" s="60">
        <f t="shared" si="211"/>
        <v>5194228</v>
      </c>
      <c r="C2703" s="60">
        <f t="shared" si="214"/>
        <v>5194228</v>
      </c>
      <c r="D2703" s="61">
        <f t="shared" si="210"/>
        <v>1</v>
      </c>
      <c r="E2703" s="64">
        <f t="shared" si="212"/>
        <v>519.42275652882211</v>
      </c>
      <c r="F2703" s="62" t="str">
        <f t="shared" si="213"/>
        <v/>
      </c>
    </row>
    <row r="2704" spans="1:6">
      <c r="A2704" s="60">
        <v>269900</v>
      </c>
      <c r="B2704" s="60">
        <f t="shared" si="211"/>
        <v>5195190</v>
      </c>
      <c r="C2704" s="60">
        <f t="shared" si="214"/>
        <v>5195190</v>
      </c>
      <c r="D2704" s="61">
        <f t="shared" si="210"/>
        <v>1</v>
      </c>
      <c r="E2704" s="64">
        <f t="shared" si="212"/>
        <v>519.51900831442151</v>
      </c>
      <c r="F2704" s="62" t="str">
        <f t="shared" si="213"/>
        <v/>
      </c>
    </row>
    <row r="2705" spans="1:6">
      <c r="A2705" s="60">
        <v>270000</v>
      </c>
      <c r="B2705" s="60">
        <f t="shared" si="211"/>
        <v>5196152</v>
      </c>
      <c r="C2705" s="60">
        <f t="shared" si="214"/>
        <v>5196152</v>
      </c>
      <c r="D2705" s="61">
        <f t="shared" si="210"/>
        <v>1</v>
      </c>
      <c r="E2705" s="64">
        <f t="shared" si="212"/>
        <v>519.6152422706632</v>
      </c>
      <c r="F2705" s="62" t="str">
        <f t="shared" si="213"/>
        <v/>
      </c>
    </row>
    <row r="2706" spans="1:6">
      <c r="A2706" s="60">
        <v>270100</v>
      </c>
      <c r="B2706" s="60">
        <f t="shared" si="211"/>
        <v>5197115</v>
      </c>
      <c r="C2706" s="60">
        <f t="shared" si="214"/>
        <v>5197115</v>
      </c>
      <c r="D2706" s="61">
        <f t="shared" si="210"/>
        <v>1</v>
      </c>
      <c r="E2706" s="64">
        <f t="shared" si="212"/>
        <v>519.71145840745135</v>
      </c>
      <c r="F2706" s="62" t="str">
        <f t="shared" si="213"/>
        <v/>
      </c>
    </row>
    <row r="2707" spans="1:6">
      <c r="A2707" s="60">
        <v>270200</v>
      </c>
      <c r="B2707" s="60">
        <f t="shared" si="211"/>
        <v>5198077</v>
      </c>
      <c r="C2707" s="60">
        <f t="shared" si="214"/>
        <v>5198077</v>
      </c>
      <c r="D2707" s="61">
        <f t="shared" si="210"/>
        <v>1</v>
      </c>
      <c r="E2707" s="64">
        <f t="shared" si="212"/>
        <v>519.80765673468102</v>
      </c>
      <c r="F2707" s="62" t="str">
        <f t="shared" si="213"/>
        <v/>
      </c>
    </row>
    <row r="2708" spans="1:6">
      <c r="A2708" s="60">
        <v>270300</v>
      </c>
      <c r="B2708" s="60">
        <f t="shared" si="211"/>
        <v>5199038</v>
      </c>
      <c r="C2708" s="60">
        <f t="shared" si="214"/>
        <v>5199038</v>
      </c>
      <c r="D2708" s="61">
        <f t="shared" si="210"/>
        <v>1</v>
      </c>
      <c r="E2708" s="64">
        <f t="shared" si="212"/>
        <v>519.90383726223831</v>
      </c>
      <c r="F2708" s="62" t="str">
        <f t="shared" si="213"/>
        <v/>
      </c>
    </row>
    <row r="2709" spans="1:6">
      <c r="A2709" s="60">
        <v>270400</v>
      </c>
      <c r="B2709" s="60">
        <f t="shared" si="211"/>
        <v>5200000</v>
      </c>
      <c r="C2709" s="60">
        <f t="shared" si="214"/>
        <v>5200000</v>
      </c>
      <c r="D2709" s="61">
        <f t="shared" si="210"/>
        <v>1</v>
      </c>
      <c r="E2709" s="64">
        <f t="shared" si="212"/>
        <v>520</v>
      </c>
      <c r="F2709" s="62" t="str">
        <f t="shared" si="213"/>
        <v/>
      </c>
    </row>
    <row r="2710" spans="1:6">
      <c r="A2710" s="60">
        <v>270500</v>
      </c>
      <c r="B2710" s="60">
        <f t="shared" si="211"/>
        <v>5200961</v>
      </c>
      <c r="C2710" s="60">
        <f t="shared" si="214"/>
        <v>5200961</v>
      </c>
      <c r="D2710" s="61">
        <f t="shared" si="210"/>
        <v>1</v>
      </c>
      <c r="E2710" s="64">
        <f t="shared" si="212"/>
        <v>520.09614495783376</v>
      </c>
      <c r="F2710" s="62" t="str">
        <f t="shared" si="213"/>
        <v/>
      </c>
    </row>
    <row r="2711" spans="1:6">
      <c r="A2711" s="60">
        <v>270600</v>
      </c>
      <c r="B2711" s="60">
        <f t="shared" si="211"/>
        <v>5201923</v>
      </c>
      <c r="C2711" s="60">
        <f t="shared" si="214"/>
        <v>5201923</v>
      </c>
      <c r="D2711" s="61">
        <f t="shared" si="210"/>
        <v>1</v>
      </c>
      <c r="E2711" s="64">
        <f t="shared" si="212"/>
        <v>520.19227214559805</v>
      </c>
      <c r="F2711" s="62" t="str">
        <f t="shared" si="213"/>
        <v/>
      </c>
    </row>
    <row r="2712" spans="1:6">
      <c r="A2712" s="60">
        <v>270700</v>
      </c>
      <c r="B2712" s="60">
        <f t="shared" si="211"/>
        <v>5202884</v>
      </c>
      <c r="C2712" s="60">
        <f t="shared" si="214"/>
        <v>5202884</v>
      </c>
      <c r="D2712" s="61">
        <f t="shared" si="210"/>
        <v>1</v>
      </c>
      <c r="E2712" s="64">
        <f t="shared" si="212"/>
        <v>520.2883815731426</v>
      </c>
      <c r="F2712" s="62" t="str">
        <f t="shared" si="213"/>
        <v/>
      </c>
    </row>
    <row r="2713" spans="1:6">
      <c r="A2713" s="60">
        <v>270800</v>
      </c>
      <c r="B2713" s="60">
        <f t="shared" si="211"/>
        <v>5203845</v>
      </c>
      <c r="C2713" s="60">
        <f t="shared" si="214"/>
        <v>5203845</v>
      </c>
      <c r="D2713" s="61">
        <f t="shared" si="210"/>
        <v>1</v>
      </c>
      <c r="E2713" s="64">
        <f t="shared" si="212"/>
        <v>520.38447325030745</v>
      </c>
      <c r="F2713" s="62" t="str">
        <f t="shared" si="213"/>
        <v/>
      </c>
    </row>
    <row r="2714" spans="1:6">
      <c r="A2714" s="60">
        <v>270900</v>
      </c>
      <c r="B2714" s="60">
        <f t="shared" si="211"/>
        <v>5204805</v>
      </c>
      <c r="C2714" s="60">
        <f t="shared" si="214"/>
        <v>5204805</v>
      </c>
      <c r="D2714" s="61">
        <f t="shared" si="210"/>
        <v>1</v>
      </c>
      <c r="E2714" s="64">
        <f t="shared" si="212"/>
        <v>520.48054718692413</v>
      </c>
      <c r="F2714" s="62" t="str">
        <f t="shared" si="213"/>
        <v/>
      </c>
    </row>
    <row r="2715" spans="1:6">
      <c r="A2715" s="60">
        <v>271000</v>
      </c>
      <c r="B2715" s="60">
        <f t="shared" si="211"/>
        <v>5205766</v>
      </c>
      <c r="C2715" s="60">
        <f t="shared" si="214"/>
        <v>5205766</v>
      </c>
      <c r="D2715" s="61">
        <f t="shared" si="210"/>
        <v>1</v>
      </c>
      <c r="E2715" s="64">
        <f t="shared" si="212"/>
        <v>520.57660339281483</v>
      </c>
      <c r="F2715" s="62" t="str">
        <f t="shared" si="213"/>
        <v/>
      </c>
    </row>
    <row r="2716" spans="1:6">
      <c r="A2716" s="60">
        <v>271100</v>
      </c>
      <c r="B2716" s="60">
        <f t="shared" si="211"/>
        <v>5206726</v>
      </c>
      <c r="C2716" s="60">
        <f t="shared" si="214"/>
        <v>5206726</v>
      </c>
      <c r="D2716" s="61">
        <f t="shared" si="210"/>
        <v>1</v>
      </c>
      <c r="E2716" s="64">
        <f t="shared" si="212"/>
        <v>520.67264187779256</v>
      </c>
      <c r="F2716" s="62" t="str">
        <f t="shared" si="213"/>
        <v/>
      </c>
    </row>
    <row r="2717" spans="1:6">
      <c r="A2717" s="60">
        <v>271200</v>
      </c>
      <c r="B2717" s="60">
        <f t="shared" si="211"/>
        <v>5207687</v>
      </c>
      <c r="C2717" s="60">
        <f t="shared" si="214"/>
        <v>5207687</v>
      </c>
      <c r="D2717" s="61">
        <f t="shared" si="210"/>
        <v>1</v>
      </c>
      <c r="E2717" s="64">
        <f t="shared" si="212"/>
        <v>520.76866265166143</v>
      </c>
      <c r="F2717" s="62" t="str">
        <f t="shared" si="213"/>
        <v/>
      </c>
    </row>
    <row r="2718" spans="1:6">
      <c r="A2718" s="60">
        <v>271300</v>
      </c>
      <c r="B2718" s="60">
        <f t="shared" si="211"/>
        <v>5208647</v>
      </c>
      <c r="C2718" s="60">
        <f t="shared" si="214"/>
        <v>5208647</v>
      </c>
      <c r="D2718" s="61">
        <f t="shared" si="210"/>
        <v>1</v>
      </c>
      <c r="E2718" s="64">
        <f t="shared" si="212"/>
        <v>520.86466572421671</v>
      </c>
      <c r="F2718" s="62" t="str">
        <f t="shared" si="213"/>
        <v/>
      </c>
    </row>
    <row r="2719" spans="1:6">
      <c r="A2719" s="60">
        <v>271400</v>
      </c>
      <c r="B2719" s="60">
        <f t="shared" si="211"/>
        <v>5209607</v>
      </c>
      <c r="C2719" s="60">
        <f t="shared" si="214"/>
        <v>5209607</v>
      </c>
      <c r="D2719" s="61">
        <f t="shared" si="210"/>
        <v>1</v>
      </c>
      <c r="E2719" s="64">
        <f t="shared" si="212"/>
        <v>520.96065110524421</v>
      </c>
      <c r="F2719" s="62" t="str">
        <f t="shared" si="213"/>
        <v/>
      </c>
    </row>
    <row r="2720" spans="1:6">
      <c r="A2720" s="60">
        <v>271500</v>
      </c>
      <c r="B2720" s="60">
        <f t="shared" si="211"/>
        <v>5210566</v>
      </c>
      <c r="C2720" s="60">
        <f t="shared" si="214"/>
        <v>5210566</v>
      </c>
      <c r="D2720" s="61">
        <f t="shared" si="210"/>
        <v>1</v>
      </c>
      <c r="E2720" s="64">
        <f t="shared" si="212"/>
        <v>521.05661880452112</v>
      </c>
      <c r="F2720" s="62" t="str">
        <f t="shared" si="213"/>
        <v/>
      </c>
    </row>
    <row r="2721" spans="1:6">
      <c r="A2721" s="60">
        <v>271600</v>
      </c>
      <c r="B2721" s="60">
        <f t="shared" si="211"/>
        <v>5211526</v>
      </c>
      <c r="C2721" s="60">
        <f t="shared" si="214"/>
        <v>5211526</v>
      </c>
      <c r="D2721" s="61">
        <f t="shared" si="210"/>
        <v>1</v>
      </c>
      <c r="E2721" s="64">
        <f t="shared" si="212"/>
        <v>521.1525688318153</v>
      </c>
      <c r="F2721" s="62" t="str">
        <f t="shared" si="213"/>
        <v/>
      </c>
    </row>
    <row r="2722" spans="1:6">
      <c r="A2722" s="60">
        <v>271700</v>
      </c>
      <c r="B2722" s="60">
        <f t="shared" si="211"/>
        <v>5212485</v>
      </c>
      <c r="C2722" s="60">
        <f t="shared" si="214"/>
        <v>5212485</v>
      </c>
      <c r="D2722" s="61">
        <f t="shared" si="210"/>
        <v>1</v>
      </c>
      <c r="E2722" s="64">
        <f t="shared" si="212"/>
        <v>521.24850119688597</v>
      </c>
      <c r="F2722" s="62" t="str">
        <f t="shared" si="213"/>
        <v/>
      </c>
    </row>
    <row r="2723" spans="1:6">
      <c r="A2723" s="60">
        <v>271800</v>
      </c>
      <c r="B2723" s="60">
        <f t="shared" si="211"/>
        <v>5213444</v>
      </c>
      <c r="C2723" s="60">
        <f t="shared" si="214"/>
        <v>5213444</v>
      </c>
      <c r="D2723" s="61">
        <f t="shared" si="210"/>
        <v>1</v>
      </c>
      <c r="E2723" s="64">
        <f t="shared" si="212"/>
        <v>521.34441590948302</v>
      </c>
      <c r="F2723" s="62" t="str">
        <f t="shared" si="213"/>
        <v/>
      </c>
    </row>
    <row r="2724" spans="1:6">
      <c r="A2724" s="60">
        <v>271900</v>
      </c>
      <c r="B2724" s="60">
        <f t="shared" si="211"/>
        <v>5214403</v>
      </c>
      <c r="C2724" s="60">
        <f t="shared" si="214"/>
        <v>5214403</v>
      </c>
      <c r="D2724" s="61">
        <f t="shared" si="210"/>
        <v>1</v>
      </c>
      <c r="E2724" s="64">
        <f t="shared" si="212"/>
        <v>521.4403129793476</v>
      </c>
      <c r="F2724" s="62" t="str">
        <f t="shared" si="213"/>
        <v/>
      </c>
    </row>
    <row r="2725" spans="1:6">
      <c r="A2725" s="60">
        <v>272000</v>
      </c>
      <c r="B2725" s="60">
        <f t="shared" si="211"/>
        <v>5215362</v>
      </c>
      <c r="C2725" s="60">
        <f t="shared" si="214"/>
        <v>5215362</v>
      </c>
      <c r="D2725" s="61">
        <f t="shared" si="210"/>
        <v>1</v>
      </c>
      <c r="E2725" s="64">
        <f t="shared" si="212"/>
        <v>521.53619241621186</v>
      </c>
      <c r="F2725" s="62" t="str">
        <f t="shared" si="213"/>
        <v/>
      </c>
    </row>
    <row r="2726" spans="1:6">
      <c r="A2726" s="60">
        <v>272100</v>
      </c>
      <c r="B2726" s="60">
        <f t="shared" si="211"/>
        <v>5216321</v>
      </c>
      <c r="C2726" s="60">
        <f t="shared" si="214"/>
        <v>5216321</v>
      </c>
      <c r="D2726" s="61">
        <f t="shared" si="210"/>
        <v>1</v>
      </c>
      <c r="E2726" s="64">
        <f t="shared" si="212"/>
        <v>521.632054229799</v>
      </c>
      <c r="F2726" s="62" t="str">
        <f t="shared" si="213"/>
        <v/>
      </c>
    </row>
    <row r="2727" spans="1:6">
      <c r="A2727" s="60">
        <v>272200</v>
      </c>
      <c r="B2727" s="60">
        <f t="shared" si="211"/>
        <v>5217279</v>
      </c>
      <c r="C2727" s="60">
        <f t="shared" si="214"/>
        <v>5217279</v>
      </c>
      <c r="D2727" s="61">
        <f t="shared" si="210"/>
        <v>1</v>
      </c>
      <c r="E2727" s="64">
        <f t="shared" si="212"/>
        <v>521.72789842982331</v>
      </c>
      <c r="F2727" s="62" t="str">
        <f t="shared" si="213"/>
        <v/>
      </c>
    </row>
    <row r="2728" spans="1:6">
      <c r="A2728" s="60">
        <v>272300</v>
      </c>
      <c r="B2728" s="60">
        <f t="shared" si="211"/>
        <v>5218237</v>
      </c>
      <c r="C2728" s="60">
        <f t="shared" si="214"/>
        <v>5218237</v>
      </c>
      <c r="D2728" s="61">
        <f t="shared" si="210"/>
        <v>1</v>
      </c>
      <c r="E2728" s="64">
        <f t="shared" si="212"/>
        <v>521.82372502599003</v>
      </c>
      <c r="F2728" s="62" t="str">
        <f t="shared" si="213"/>
        <v/>
      </c>
    </row>
    <row r="2729" spans="1:6">
      <c r="A2729" s="60">
        <v>272400</v>
      </c>
      <c r="B2729" s="60">
        <f t="shared" si="211"/>
        <v>5219195</v>
      </c>
      <c r="C2729" s="60">
        <f t="shared" si="214"/>
        <v>5219195</v>
      </c>
      <c r="D2729" s="61">
        <f t="shared" si="210"/>
        <v>1</v>
      </c>
      <c r="E2729" s="64">
        <f t="shared" si="212"/>
        <v>521.9195340279955</v>
      </c>
      <c r="F2729" s="62" t="str">
        <f t="shared" si="213"/>
        <v/>
      </c>
    </row>
    <row r="2730" spans="1:6">
      <c r="A2730" s="60">
        <v>272500</v>
      </c>
      <c r="B2730" s="60">
        <f t="shared" si="211"/>
        <v>5220153</v>
      </c>
      <c r="C2730" s="60">
        <f t="shared" si="214"/>
        <v>5220153</v>
      </c>
      <c r="D2730" s="61">
        <f t="shared" si="210"/>
        <v>1</v>
      </c>
      <c r="E2730" s="64">
        <f t="shared" si="212"/>
        <v>522.01532544552754</v>
      </c>
      <c r="F2730" s="62" t="str">
        <f t="shared" si="213"/>
        <v/>
      </c>
    </row>
    <row r="2731" spans="1:6">
      <c r="A2731" s="60">
        <v>272600</v>
      </c>
      <c r="B2731" s="60">
        <f t="shared" si="211"/>
        <v>5221111</v>
      </c>
      <c r="C2731" s="60">
        <f t="shared" si="214"/>
        <v>5221111</v>
      </c>
      <c r="D2731" s="61">
        <f t="shared" si="210"/>
        <v>1</v>
      </c>
      <c r="E2731" s="64">
        <f t="shared" si="212"/>
        <v>522.11109928826454</v>
      </c>
      <c r="F2731" s="62" t="str">
        <f t="shared" si="213"/>
        <v/>
      </c>
    </row>
    <row r="2732" spans="1:6">
      <c r="A2732" s="60">
        <v>272700</v>
      </c>
      <c r="B2732" s="60">
        <f t="shared" si="211"/>
        <v>5222069</v>
      </c>
      <c r="C2732" s="60">
        <f t="shared" si="214"/>
        <v>5222069</v>
      </c>
      <c r="D2732" s="61">
        <f t="shared" si="210"/>
        <v>1</v>
      </c>
      <c r="E2732" s="64">
        <f t="shared" si="212"/>
        <v>522.20685556587625</v>
      </c>
      <c r="F2732" s="62" t="str">
        <f t="shared" si="213"/>
        <v/>
      </c>
    </row>
    <row r="2733" spans="1:6">
      <c r="A2733" s="60">
        <v>272800</v>
      </c>
      <c r="B2733" s="60">
        <f t="shared" si="211"/>
        <v>5223026</v>
      </c>
      <c r="C2733" s="60">
        <f t="shared" si="214"/>
        <v>5223026</v>
      </c>
      <c r="D2733" s="61">
        <f t="shared" si="210"/>
        <v>1</v>
      </c>
      <c r="E2733" s="64">
        <f t="shared" si="212"/>
        <v>522.30259428802378</v>
      </c>
      <c r="F2733" s="62" t="str">
        <f t="shared" si="213"/>
        <v/>
      </c>
    </row>
    <row r="2734" spans="1:6">
      <c r="A2734" s="60">
        <v>272900</v>
      </c>
      <c r="B2734" s="60">
        <f t="shared" si="211"/>
        <v>5223983</v>
      </c>
      <c r="C2734" s="60">
        <f t="shared" si="214"/>
        <v>5223983</v>
      </c>
      <c r="D2734" s="61">
        <f t="shared" si="210"/>
        <v>1</v>
      </c>
      <c r="E2734" s="64">
        <f t="shared" si="212"/>
        <v>522.39831546435903</v>
      </c>
      <c r="F2734" s="62" t="str">
        <f t="shared" si="213"/>
        <v/>
      </c>
    </row>
    <row r="2735" spans="1:6">
      <c r="A2735" s="60">
        <v>273000</v>
      </c>
      <c r="B2735" s="60">
        <f t="shared" si="211"/>
        <v>5224940</v>
      </c>
      <c r="C2735" s="60">
        <f t="shared" si="214"/>
        <v>5224940</v>
      </c>
      <c r="D2735" s="61">
        <f t="shared" si="210"/>
        <v>1</v>
      </c>
      <c r="E2735" s="64">
        <f t="shared" si="212"/>
        <v>522.49401910452525</v>
      </c>
      <c r="F2735" s="62" t="str">
        <f t="shared" si="213"/>
        <v/>
      </c>
    </row>
    <row r="2736" spans="1:6">
      <c r="A2736" s="60">
        <v>273100</v>
      </c>
      <c r="B2736" s="60">
        <f t="shared" si="211"/>
        <v>5225897</v>
      </c>
      <c r="C2736" s="60">
        <f t="shared" si="214"/>
        <v>5225897</v>
      </c>
      <c r="D2736" s="61">
        <f t="shared" si="210"/>
        <v>1</v>
      </c>
      <c r="E2736" s="64">
        <f t="shared" si="212"/>
        <v>522.58970521815684</v>
      </c>
      <c r="F2736" s="62" t="str">
        <f t="shared" si="213"/>
        <v/>
      </c>
    </row>
    <row r="2737" spans="1:6">
      <c r="A2737" s="60">
        <v>273200</v>
      </c>
      <c r="B2737" s="60">
        <f t="shared" si="211"/>
        <v>5226854</v>
      </c>
      <c r="C2737" s="60">
        <f t="shared" si="214"/>
        <v>5226854</v>
      </c>
      <c r="D2737" s="61">
        <f t="shared" si="210"/>
        <v>1</v>
      </c>
      <c r="E2737" s="64">
        <f t="shared" si="212"/>
        <v>522.6853738148792</v>
      </c>
      <c r="F2737" s="62" t="str">
        <f t="shared" si="213"/>
        <v/>
      </c>
    </row>
    <row r="2738" spans="1:6">
      <c r="A2738" s="60">
        <v>273300</v>
      </c>
      <c r="B2738" s="60">
        <f t="shared" si="211"/>
        <v>5227810</v>
      </c>
      <c r="C2738" s="60">
        <f t="shared" si="214"/>
        <v>5227810</v>
      </c>
      <c r="D2738" s="61">
        <f t="shared" si="210"/>
        <v>1</v>
      </c>
      <c r="E2738" s="64">
        <f t="shared" si="212"/>
        <v>522.78102490430922</v>
      </c>
      <c r="F2738" s="62" t="str">
        <f t="shared" si="213"/>
        <v/>
      </c>
    </row>
    <row r="2739" spans="1:6">
      <c r="A2739" s="60">
        <v>273400</v>
      </c>
      <c r="B2739" s="60">
        <f t="shared" si="211"/>
        <v>5228767</v>
      </c>
      <c r="C2739" s="60">
        <f t="shared" si="214"/>
        <v>5228767</v>
      </c>
      <c r="D2739" s="61">
        <f t="shared" si="210"/>
        <v>1</v>
      </c>
      <c r="E2739" s="64">
        <f t="shared" si="212"/>
        <v>522.87665849605492</v>
      </c>
      <c r="F2739" s="62" t="str">
        <f t="shared" si="213"/>
        <v/>
      </c>
    </row>
    <row r="2740" spans="1:6">
      <c r="A2740" s="60">
        <v>273500</v>
      </c>
      <c r="B2740" s="60">
        <f t="shared" si="211"/>
        <v>5229723</v>
      </c>
      <c r="C2740" s="60">
        <f t="shared" si="214"/>
        <v>5229723</v>
      </c>
      <c r="D2740" s="61">
        <f t="shared" si="210"/>
        <v>1</v>
      </c>
      <c r="E2740" s="64">
        <f t="shared" si="212"/>
        <v>522.97227459971532</v>
      </c>
      <c r="F2740" s="62" t="str">
        <f t="shared" si="213"/>
        <v/>
      </c>
    </row>
    <row r="2741" spans="1:6">
      <c r="A2741" s="60">
        <v>273600</v>
      </c>
      <c r="B2741" s="60">
        <f t="shared" si="211"/>
        <v>5230679</v>
      </c>
      <c r="C2741" s="60">
        <f t="shared" si="214"/>
        <v>5230679</v>
      </c>
      <c r="D2741" s="61">
        <f t="shared" si="210"/>
        <v>1</v>
      </c>
      <c r="E2741" s="64">
        <f t="shared" si="212"/>
        <v>523.06787322488083</v>
      </c>
      <c r="F2741" s="62" t="str">
        <f t="shared" si="213"/>
        <v/>
      </c>
    </row>
    <row r="2742" spans="1:6">
      <c r="A2742" s="60">
        <v>273700</v>
      </c>
      <c r="B2742" s="60">
        <f t="shared" si="211"/>
        <v>5231635</v>
      </c>
      <c r="C2742" s="60">
        <f t="shared" si="214"/>
        <v>5231635</v>
      </c>
      <c r="D2742" s="61">
        <f t="shared" si="210"/>
        <v>1</v>
      </c>
      <c r="E2742" s="64">
        <f t="shared" si="212"/>
        <v>523.16345438113319</v>
      </c>
      <c r="F2742" s="62" t="str">
        <f t="shared" si="213"/>
        <v/>
      </c>
    </row>
    <row r="2743" spans="1:6">
      <c r="A2743" s="60">
        <v>273800</v>
      </c>
      <c r="B2743" s="60">
        <f t="shared" si="211"/>
        <v>5232590</v>
      </c>
      <c r="C2743" s="60">
        <f t="shared" si="214"/>
        <v>5232590</v>
      </c>
      <c r="D2743" s="61">
        <f t="shared" si="210"/>
        <v>1</v>
      </c>
      <c r="E2743" s="64">
        <f t="shared" si="212"/>
        <v>523.25901807804519</v>
      </c>
      <c r="F2743" s="62" t="str">
        <f t="shared" si="213"/>
        <v/>
      </c>
    </row>
    <row r="2744" spans="1:6">
      <c r="A2744" s="60">
        <v>273900</v>
      </c>
      <c r="B2744" s="60">
        <f t="shared" si="211"/>
        <v>5233546</v>
      </c>
      <c r="C2744" s="60">
        <f t="shared" si="214"/>
        <v>5233546</v>
      </c>
      <c r="D2744" s="61">
        <f t="shared" si="210"/>
        <v>1</v>
      </c>
      <c r="E2744" s="64">
        <f t="shared" si="212"/>
        <v>523.35456432518095</v>
      </c>
      <c r="F2744" s="62" t="str">
        <f t="shared" si="213"/>
        <v/>
      </c>
    </row>
    <row r="2745" spans="1:6">
      <c r="A2745" s="60">
        <v>274000</v>
      </c>
      <c r="B2745" s="60">
        <f t="shared" si="211"/>
        <v>5234501</v>
      </c>
      <c r="C2745" s="60">
        <f t="shared" si="214"/>
        <v>5234501</v>
      </c>
      <c r="D2745" s="61">
        <f t="shared" si="210"/>
        <v>1</v>
      </c>
      <c r="E2745" s="64">
        <f t="shared" si="212"/>
        <v>523.45009313209607</v>
      </c>
      <c r="F2745" s="62" t="str">
        <f t="shared" si="213"/>
        <v/>
      </c>
    </row>
    <row r="2746" spans="1:6">
      <c r="A2746" s="60">
        <v>274100</v>
      </c>
      <c r="B2746" s="60">
        <f t="shared" si="211"/>
        <v>5235456</v>
      </c>
      <c r="C2746" s="60">
        <f t="shared" si="214"/>
        <v>5235456</v>
      </c>
      <c r="D2746" s="61">
        <f t="shared" si="210"/>
        <v>1</v>
      </c>
      <c r="E2746" s="64">
        <f t="shared" si="212"/>
        <v>523.54560450833696</v>
      </c>
      <c r="F2746" s="62" t="str">
        <f t="shared" si="213"/>
        <v/>
      </c>
    </row>
    <row r="2747" spans="1:6">
      <c r="A2747" s="60">
        <v>274200</v>
      </c>
      <c r="B2747" s="60">
        <f t="shared" si="211"/>
        <v>5236411</v>
      </c>
      <c r="C2747" s="60">
        <f t="shared" si="214"/>
        <v>5236411</v>
      </c>
      <c r="D2747" s="61">
        <f t="shared" si="210"/>
        <v>1</v>
      </c>
      <c r="E2747" s="64">
        <f t="shared" si="212"/>
        <v>523.64109846344184</v>
      </c>
      <c r="F2747" s="62" t="str">
        <f t="shared" si="213"/>
        <v/>
      </c>
    </row>
    <row r="2748" spans="1:6">
      <c r="A2748" s="60">
        <v>274300</v>
      </c>
      <c r="B2748" s="60">
        <f t="shared" si="211"/>
        <v>5237366</v>
      </c>
      <c r="C2748" s="60">
        <f t="shared" si="214"/>
        <v>5237366</v>
      </c>
      <c r="D2748" s="61">
        <f t="shared" si="210"/>
        <v>1</v>
      </c>
      <c r="E2748" s="64">
        <f t="shared" si="212"/>
        <v>523.73657500693992</v>
      </c>
      <c r="F2748" s="62" t="str">
        <f t="shared" si="213"/>
        <v/>
      </c>
    </row>
    <row r="2749" spans="1:6">
      <c r="A2749" s="60">
        <v>274400</v>
      </c>
      <c r="B2749" s="60">
        <f t="shared" si="211"/>
        <v>5238320</v>
      </c>
      <c r="C2749" s="60">
        <f t="shared" si="214"/>
        <v>5238320</v>
      </c>
      <c r="D2749" s="61">
        <f t="shared" si="210"/>
        <v>1</v>
      </c>
      <c r="E2749" s="64">
        <f t="shared" si="212"/>
        <v>523.8320341483518</v>
      </c>
      <c r="F2749" s="62" t="str">
        <f t="shared" si="213"/>
        <v/>
      </c>
    </row>
    <row r="2750" spans="1:6">
      <c r="A2750" s="60">
        <v>274500</v>
      </c>
      <c r="B2750" s="60">
        <f t="shared" si="211"/>
        <v>5239275</v>
      </c>
      <c r="C2750" s="60">
        <f t="shared" si="214"/>
        <v>5239275</v>
      </c>
      <c r="D2750" s="61">
        <f t="shared" si="210"/>
        <v>1</v>
      </c>
      <c r="E2750" s="64">
        <f t="shared" si="212"/>
        <v>523.92747589718942</v>
      </c>
      <c r="F2750" s="62" t="str">
        <f t="shared" si="213"/>
        <v/>
      </c>
    </row>
    <row r="2751" spans="1:6">
      <c r="A2751" s="60">
        <v>274600</v>
      </c>
      <c r="B2751" s="60">
        <f t="shared" si="211"/>
        <v>5240229</v>
      </c>
      <c r="C2751" s="60">
        <f t="shared" si="214"/>
        <v>5240229</v>
      </c>
      <c r="D2751" s="61">
        <f t="shared" si="210"/>
        <v>1</v>
      </c>
      <c r="E2751" s="64">
        <f t="shared" si="212"/>
        <v>524.02290026295611</v>
      </c>
      <c r="F2751" s="62" t="str">
        <f t="shared" si="213"/>
        <v/>
      </c>
    </row>
    <row r="2752" spans="1:6">
      <c r="A2752" s="60">
        <v>274700</v>
      </c>
      <c r="B2752" s="60">
        <f t="shared" si="211"/>
        <v>5241183</v>
      </c>
      <c r="C2752" s="60">
        <f t="shared" si="214"/>
        <v>5241183</v>
      </c>
      <c r="D2752" s="61">
        <f t="shared" si="210"/>
        <v>1</v>
      </c>
      <c r="E2752" s="64">
        <f t="shared" si="212"/>
        <v>524.11830725514631</v>
      </c>
      <c r="F2752" s="62" t="str">
        <f t="shared" si="213"/>
        <v/>
      </c>
    </row>
    <row r="2753" spans="1:6">
      <c r="A2753" s="60">
        <v>274800</v>
      </c>
      <c r="B2753" s="60">
        <f t="shared" si="211"/>
        <v>5242137</v>
      </c>
      <c r="C2753" s="60">
        <f t="shared" si="214"/>
        <v>5242137</v>
      </c>
      <c r="D2753" s="61">
        <f t="shared" si="210"/>
        <v>1</v>
      </c>
      <c r="E2753" s="64">
        <f t="shared" si="212"/>
        <v>524.21369688324626</v>
      </c>
      <c r="F2753" s="62" t="str">
        <f t="shared" si="213"/>
        <v/>
      </c>
    </row>
    <row r="2754" spans="1:6">
      <c r="A2754" s="60">
        <v>274900</v>
      </c>
      <c r="B2754" s="60">
        <f t="shared" si="211"/>
        <v>5243091</v>
      </c>
      <c r="C2754" s="60">
        <f t="shared" si="214"/>
        <v>5243091</v>
      </c>
      <c r="D2754" s="61">
        <f t="shared" si="210"/>
        <v>1</v>
      </c>
      <c r="E2754" s="64">
        <f t="shared" si="212"/>
        <v>524.30906915673313</v>
      </c>
      <c r="F2754" s="62" t="str">
        <f t="shared" si="213"/>
        <v/>
      </c>
    </row>
    <row r="2755" spans="1:6">
      <c r="A2755" s="60">
        <v>275000</v>
      </c>
      <c r="B2755" s="60">
        <f t="shared" si="211"/>
        <v>5244044</v>
      </c>
      <c r="C2755" s="60">
        <f t="shared" si="214"/>
        <v>5244044</v>
      </c>
      <c r="D2755" s="61">
        <f t="shared" si="210"/>
        <v>1</v>
      </c>
      <c r="E2755" s="64">
        <f t="shared" si="212"/>
        <v>524.40442408507579</v>
      </c>
      <c r="F2755" s="62" t="str">
        <f t="shared" si="213"/>
        <v/>
      </c>
    </row>
    <row r="2756" spans="1:6">
      <c r="A2756" s="60">
        <v>275100</v>
      </c>
      <c r="B2756" s="60">
        <f t="shared" si="211"/>
        <v>5244998</v>
      </c>
      <c r="C2756" s="60">
        <f t="shared" si="214"/>
        <v>5244998</v>
      </c>
      <c r="D2756" s="61">
        <f t="shared" si="210"/>
        <v>1</v>
      </c>
      <c r="E2756" s="64">
        <f t="shared" si="212"/>
        <v>524.49976167773423</v>
      </c>
      <c r="F2756" s="62" t="str">
        <f t="shared" si="213"/>
        <v/>
      </c>
    </row>
    <row r="2757" spans="1:6">
      <c r="A2757" s="60">
        <v>275200</v>
      </c>
      <c r="B2757" s="60">
        <f t="shared" si="211"/>
        <v>5245951</v>
      </c>
      <c r="C2757" s="60">
        <f t="shared" si="214"/>
        <v>5245951</v>
      </c>
      <c r="D2757" s="61">
        <f t="shared" ref="D2757:D2820" si="215">(A2757-INDEX(兵力区间,MATCH(A2757,兵力区间,1)))/(INDEX(兵力区间,MATCH(A2757,兵力区间,1)+1)-INDEX(兵力区间,MATCH(A2757,兵力区间,1)))*((INDEX(兵力调节,MATCH(A2757,兵力区间,1)+1,2)-INDEX(兵力调节,MATCH(A2757,兵力区间,1),2)))+INDEX(兵力调节,MATCH(A2757,兵力区间,1),2)</f>
        <v>1</v>
      </c>
      <c r="E2757" s="64">
        <f t="shared" si="212"/>
        <v>524.59508194416003</v>
      </c>
      <c r="F2757" s="62" t="str">
        <f t="shared" si="213"/>
        <v/>
      </c>
    </row>
    <row r="2758" spans="1:6">
      <c r="A2758" s="60">
        <v>275300</v>
      </c>
      <c r="B2758" s="60">
        <f t="shared" si="211"/>
        <v>5246904</v>
      </c>
      <c r="C2758" s="60">
        <f t="shared" si="214"/>
        <v>5246904</v>
      </c>
      <c r="D2758" s="61">
        <f t="shared" si="215"/>
        <v>1</v>
      </c>
      <c r="E2758" s="64">
        <f t="shared" si="212"/>
        <v>524.69038489379625</v>
      </c>
      <c r="F2758" s="62" t="str">
        <f t="shared" si="213"/>
        <v/>
      </c>
    </row>
    <row r="2759" spans="1:6">
      <c r="A2759" s="60">
        <v>275400</v>
      </c>
      <c r="B2759" s="60">
        <f t="shared" ref="B2759:B2822" si="216">ROUND(D2759*E2759*10000,0)</f>
        <v>5247857</v>
      </c>
      <c r="C2759" s="60">
        <f t="shared" si="214"/>
        <v>5247857</v>
      </c>
      <c r="D2759" s="61">
        <f t="shared" si="215"/>
        <v>1</v>
      </c>
      <c r="E2759" s="64">
        <f t="shared" ref="E2759:E2822" si="217">A2759^0.5</f>
        <v>524.78567053607708</v>
      </c>
      <c r="F2759" s="62" t="str">
        <f t="shared" si="213"/>
        <v/>
      </c>
    </row>
    <row r="2760" spans="1:6">
      <c r="A2760" s="60">
        <v>275500</v>
      </c>
      <c r="B2760" s="60">
        <f t="shared" si="216"/>
        <v>5248809</v>
      </c>
      <c r="C2760" s="60">
        <f t="shared" si="214"/>
        <v>5248809</v>
      </c>
      <c r="D2760" s="61">
        <f t="shared" si="215"/>
        <v>1</v>
      </c>
      <c r="E2760" s="64">
        <f t="shared" si="217"/>
        <v>524.8809388804284</v>
      </c>
      <c r="F2760" s="62" t="str">
        <f t="shared" ref="F2760:F2823" si="218">IF(B2760&lt;B2759,1,"")</f>
        <v/>
      </c>
    </row>
    <row r="2761" spans="1:6">
      <c r="A2761" s="60">
        <v>275600</v>
      </c>
      <c r="B2761" s="60">
        <f t="shared" si="216"/>
        <v>5249762</v>
      </c>
      <c r="C2761" s="60">
        <f t="shared" si="214"/>
        <v>5249762</v>
      </c>
      <c r="D2761" s="61">
        <f t="shared" si="215"/>
        <v>1</v>
      </c>
      <c r="E2761" s="64">
        <f t="shared" si="217"/>
        <v>524.97618993626747</v>
      </c>
      <c r="F2761" s="62" t="str">
        <f t="shared" si="218"/>
        <v/>
      </c>
    </row>
    <row r="2762" spans="1:6">
      <c r="A2762" s="60">
        <v>275700</v>
      </c>
      <c r="B2762" s="60">
        <f t="shared" si="216"/>
        <v>5250714</v>
      </c>
      <c r="C2762" s="60">
        <f t="shared" si="214"/>
        <v>5250714</v>
      </c>
      <c r="D2762" s="61">
        <f t="shared" si="215"/>
        <v>1</v>
      </c>
      <c r="E2762" s="64">
        <f t="shared" si="217"/>
        <v>525.07142371300301</v>
      </c>
      <c r="F2762" s="62" t="str">
        <f t="shared" si="218"/>
        <v/>
      </c>
    </row>
    <row r="2763" spans="1:6">
      <c r="A2763" s="60">
        <v>275800</v>
      </c>
      <c r="B2763" s="60">
        <f t="shared" si="216"/>
        <v>5251666</v>
      </c>
      <c r="C2763" s="60">
        <f t="shared" ref="C2763:C2826" si="219">ROUND(D2763*E2763*10000,0)</f>
        <v>5251666</v>
      </c>
      <c r="D2763" s="61">
        <f t="shared" si="215"/>
        <v>1</v>
      </c>
      <c r="E2763" s="64">
        <f t="shared" si="217"/>
        <v>525.16664022003533</v>
      </c>
      <c r="F2763" s="62" t="str">
        <f t="shared" si="218"/>
        <v/>
      </c>
    </row>
    <row r="2764" spans="1:6">
      <c r="A2764" s="60">
        <v>275900</v>
      </c>
      <c r="B2764" s="60">
        <f t="shared" si="216"/>
        <v>5252618</v>
      </c>
      <c r="C2764" s="60">
        <f t="shared" si="219"/>
        <v>5252618</v>
      </c>
      <c r="D2764" s="61">
        <f t="shared" si="215"/>
        <v>1</v>
      </c>
      <c r="E2764" s="64">
        <f t="shared" si="217"/>
        <v>525.26183946675587</v>
      </c>
      <c r="F2764" s="62" t="str">
        <f t="shared" si="218"/>
        <v/>
      </c>
    </row>
    <row r="2765" spans="1:6">
      <c r="A2765" s="60">
        <v>276000</v>
      </c>
      <c r="B2765" s="60">
        <f t="shared" si="216"/>
        <v>5253570</v>
      </c>
      <c r="C2765" s="60">
        <f t="shared" si="219"/>
        <v>5253570</v>
      </c>
      <c r="D2765" s="61">
        <f t="shared" si="215"/>
        <v>1</v>
      </c>
      <c r="E2765" s="64">
        <f t="shared" si="217"/>
        <v>525.35702146254789</v>
      </c>
      <c r="F2765" s="62" t="str">
        <f t="shared" si="218"/>
        <v/>
      </c>
    </row>
    <row r="2766" spans="1:6">
      <c r="A2766" s="60">
        <v>276100</v>
      </c>
      <c r="B2766" s="60">
        <f t="shared" si="216"/>
        <v>5254522</v>
      </c>
      <c r="C2766" s="60">
        <f t="shared" si="219"/>
        <v>5254522</v>
      </c>
      <c r="D2766" s="61">
        <f t="shared" si="215"/>
        <v>1</v>
      </c>
      <c r="E2766" s="64">
        <f t="shared" si="217"/>
        <v>525.452186216786</v>
      </c>
      <c r="F2766" s="62" t="str">
        <f t="shared" si="218"/>
        <v/>
      </c>
    </row>
    <row r="2767" spans="1:6">
      <c r="A2767" s="60">
        <v>276200</v>
      </c>
      <c r="B2767" s="60">
        <f t="shared" si="216"/>
        <v>5255473</v>
      </c>
      <c r="C2767" s="60">
        <f t="shared" si="219"/>
        <v>5255473</v>
      </c>
      <c r="D2767" s="61">
        <f t="shared" si="215"/>
        <v>1</v>
      </c>
      <c r="E2767" s="64">
        <f t="shared" si="217"/>
        <v>525.54733373883653</v>
      </c>
      <c r="F2767" s="62" t="str">
        <f t="shared" si="218"/>
        <v/>
      </c>
    </row>
    <row r="2768" spans="1:6">
      <c r="A2768" s="60">
        <v>276300</v>
      </c>
      <c r="B2768" s="60">
        <f t="shared" si="216"/>
        <v>5256425</v>
      </c>
      <c r="C2768" s="60">
        <f t="shared" si="219"/>
        <v>5256425</v>
      </c>
      <c r="D2768" s="61">
        <f t="shared" si="215"/>
        <v>1</v>
      </c>
      <c r="E2768" s="64">
        <f t="shared" si="217"/>
        <v>525.64246403805691</v>
      </c>
      <c r="F2768" s="62" t="str">
        <f t="shared" si="218"/>
        <v/>
      </c>
    </row>
    <row r="2769" spans="1:6">
      <c r="A2769" s="60">
        <v>276400</v>
      </c>
      <c r="B2769" s="60">
        <f t="shared" si="216"/>
        <v>5257376</v>
      </c>
      <c r="C2769" s="60">
        <f t="shared" si="219"/>
        <v>5257376</v>
      </c>
      <c r="D2769" s="61">
        <f t="shared" si="215"/>
        <v>1</v>
      </c>
      <c r="E2769" s="64">
        <f t="shared" si="217"/>
        <v>525.73757712379665</v>
      </c>
      <c r="F2769" s="62" t="str">
        <f t="shared" si="218"/>
        <v/>
      </c>
    </row>
    <row r="2770" spans="1:6">
      <c r="A2770" s="60">
        <v>276500</v>
      </c>
      <c r="B2770" s="60">
        <f t="shared" si="216"/>
        <v>5258327</v>
      </c>
      <c r="C2770" s="60">
        <f t="shared" si="219"/>
        <v>5258327</v>
      </c>
      <c r="D2770" s="61">
        <f t="shared" si="215"/>
        <v>1</v>
      </c>
      <c r="E2770" s="64">
        <f t="shared" si="217"/>
        <v>525.83267300539626</v>
      </c>
      <c r="F2770" s="62" t="str">
        <f t="shared" si="218"/>
        <v/>
      </c>
    </row>
    <row r="2771" spans="1:6">
      <c r="A2771" s="60">
        <v>276600</v>
      </c>
      <c r="B2771" s="60">
        <f t="shared" si="216"/>
        <v>5259278</v>
      </c>
      <c r="C2771" s="60">
        <f t="shared" si="219"/>
        <v>5259278</v>
      </c>
      <c r="D2771" s="61">
        <f t="shared" si="215"/>
        <v>1</v>
      </c>
      <c r="E2771" s="64">
        <f t="shared" si="217"/>
        <v>525.92775169218828</v>
      </c>
      <c r="F2771" s="62" t="str">
        <f t="shared" si="218"/>
        <v/>
      </c>
    </row>
    <row r="2772" spans="1:6">
      <c r="A2772" s="60">
        <v>276700</v>
      </c>
      <c r="B2772" s="60">
        <f t="shared" si="216"/>
        <v>5260228</v>
      </c>
      <c r="C2772" s="60">
        <f t="shared" si="219"/>
        <v>5260228</v>
      </c>
      <c r="D2772" s="61">
        <f t="shared" si="215"/>
        <v>1</v>
      </c>
      <c r="E2772" s="64">
        <f t="shared" si="217"/>
        <v>526.0228131934964</v>
      </c>
      <c r="F2772" s="62" t="str">
        <f t="shared" si="218"/>
        <v/>
      </c>
    </row>
    <row r="2773" spans="1:6">
      <c r="A2773" s="60">
        <v>276800</v>
      </c>
      <c r="B2773" s="60">
        <f t="shared" si="216"/>
        <v>5261179</v>
      </c>
      <c r="C2773" s="60">
        <f t="shared" si="219"/>
        <v>5261179</v>
      </c>
      <c r="D2773" s="61">
        <f t="shared" si="215"/>
        <v>1</v>
      </c>
      <c r="E2773" s="64">
        <f t="shared" si="217"/>
        <v>526.11785751863624</v>
      </c>
      <c r="F2773" s="62" t="str">
        <f t="shared" si="218"/>
        <v/>
      </c>
    </row>
    <row r="2774" spans="1:6">
      <c r="A2774" s="60">
        <v>276900</v>
      </c>
      <c r="B2774" s="60">
        <f t="shared" si="216"/>
        <v>5262129</v>
      </c>
      <c r="C2774" s="60">
        <f t="shared" si="219"/>
        <v>5262129</v>
      </c>
      <c r="D2774" s="61">
        <f t="shared" si="215"/>
        <v>1</v>
      </c>
      <c r="E2774" s="64">
        <f t="shared" si="217"/>
        <v>526.21288467691477</v>
      </c>
      <c r="F2774" s="62" t="str">
        <f t="shared" si="218"/>
        <v/>
      </c>
    </row>
    <row r="2775" spans="1:6">
      <c r="A2775" s="60">
        <v>277000</v>
      </c>
      <c r="B2775" s="60">
        <f t="shared" si="216"/>
        <v>5263079</v>
      </c>
      <c r="C2775" s="60">
        <f t="shared" si="219"/>
        <v>5263079</v>
      </c>
      <c r="D2775" s="61">
        <f t="shared" si="215"/>
        <v>1</v>
      </c>
      <c r="E2775" s="64">
        <f t="shared" si="217"/>
        <v>526.30789467763066</v>
      </c>
      <c r="F2775" s="62" t="str">
        <f t="shared" si="218"/>
        <v/>
      </c>
    </row>
    <row r="2776" spans="1:6">
      <c r="A2776" s="60">
        <v>277100</v>
      </c>
      <c r="B2776" s="60">
        <f t="shared" si="216"/>
        <v>5264029</v>
      </c>
      <c r="C2776" s="60">
        <f t="shared" si="219"/>
        <v>5264029</v>
      </c>
      <c r="D2776" s="61">
        <f t="shared" si="215"/>
        <v>1</v>
      </c>
      <c r="E2776" s="64">
        <f t="shared" si="217"/>
        <v>526.40288753007428</v>
      </c>
      <c r="F2776" s="62" t="str">
        <f t="shared" si="218"/>
        <v/>
      </c>
    </row>
    <row r="2777" spans="1:6">
      <c r="A2777" s="60">
        <v>277200</v>
      </c>
      <c r="B2777" s="60">
        <f t="shared" si="216"/>
        <v>5264979</v>
      </c>
      <c r="C2777" s="60">
        <f t="shared" si="219"/>
        <v>5264979</v>
      </c>
      <c r="D2777" s="61">
        <f t="shared" si="215"/>
        <v>1</v>
      </c>
      <c r="E2777" s="64">
        <f t="shared" si="217"/>
        <v>526.49786324352738</v>
      </c>
      <c r="F2777" s="62" t="str">
        <f t="shared" si="218"/>
        <v/>
      </c>
    </row>
    <row r="2778" spans="1:6">
      <c r="A2778" s="60">
        <v>277300</v>
      </c>
      <c r="B2778" s="60">
        <f t="shared" si="216"/>
        <v>5265928</v>
      </c>
      <c r="C2778" s="60">
        <f t="shared" si="219"/>
        <v>5265928</v>
      </c>
      <c r="D2778" s="61">
        <f t="shared" si="215"/>
        <v>1</v>
      </c>
      <c r="E2778" s="64">
        <f t="shared" si="217"/>
        <v>526.59282182726338</v>
      </c>
      <c r="F2778" s="62" t="str">
        <f t="shared" si="218"/>
        <v/>
      </c>
    </row>
    <row r="2779" spans="1:6">
      <c r="A2779" s="60">
        <v>277400</v>
      </c>
      <c r="B2779" s="60">
        <f t="shared" si="216"/>
        <v>5266878</v>
      </c>
      <c r="C2779" s="60">
        <f t="shared" si="219"/>
        <v>5266878</v>
      </c>
      <c r="D2779" s="61">
        <f t="shared" si="215"/>
        <v>1</v>
      </c>
      <c r="E2779" s="64">
        <f t="shared" si="217"/>
        <v>526.68776329054765</v>
      </c>
      <c r="F2779" s="62" t="str">
        <f t="shared" si="218"/>
        <v/>
      </c>
    </row>
    <row r="2780" spans="1:6">
      <c r="A2780" s="60">
        <v>277500</v>
      </c>
      <c r="B2780" s="60">
        <f t="shared" si="216"/>
        <v>5267827</v>
      </c>
      <c r="C2780" s="60">
        <f t="shared" si="219"/>
        <v>5267827</v>
      </c>
      <c r="D2780" s="61">
        <f t="shared" si="215"/>
        <v>1</v>
      </c>
      <c r="E2780" s="64">
        <f t="shared" si="217"/>
        <v>526.78268764263692</v>
      </c>
      <c r="F2780" s="62" t="str">
        <f t="shared" si="218"/>
        <v/>
      </c>
    </row>
    <row r="2781" spans="1:6">
      <c r="A2781" s="60">
        <v>277600</v>
      </c>
      <c r="B2781" s="60">
        <f t="shared" si="216"/>
        <v>5268776</v>
      </c>
      <c r="C2781" s="60">
        <f t="shared" si="219"/>
        <v>5268776</v>
      </c>
      <c r="D2781" s="61">
        <f t="shared" si="215"/>
        <v>1</v>
      </c>
      <c r="E2781" s="64">
        <f t="shared" si="217"/>
        <v>526.8775948927796</v>
      </c>
      <c r="F2781" s="62" t="str">
        <f t="shared" si="218"/>
        <v/>
      </c>
    </row>
    <row r="2782" spans="1:6">
      <c r="A2782" s="60">
        <v>277700</v>
      </c>
      <c r="B2782" s="60">
        <f t="shared" si="216"/>
        <v>5269725</v>
      </c>
      <c r="C2782" s="60">
        <f t="shared" si="219"/>
        <v>5269725</v>
      </c>
      <c r="D2782" s="61">
        <f t="shared" si="215"/>
        <v>1</v>
      </c>
      <c r="E2782" s="64">
        <f t="shared" si="217"/>
        <v>526.97248505021594</v>
      </c>
      <c r="F2782" s="62" t="str">
        <f t="shared" si="218"/>
        <v/>
      </c>
    </row>
    <row r="2783" spans="1:6">
      <c r="A2783" s="60">
        <v>277800</v>
      </c>
      <c r="B2783" s="60">
        <f t="shared" si="216"/>
        <v>5270674</v>
      </c>
      <c r="C2783" s="60">
        <f t="shared" si="219"/>
        <v>5270674</v>
      </c>
      <c r="D2783" s="61">
        <f t="shared" si="215"/>
        <v>1</v>
      </c>
      <c r="E2783" s="64">
        <f t="shared" si="217"/>
        <v>527.06735812417753</v>
      </c>
      <c r="F2783" s="62" t="str">
        <f t="shared" si="218"/>
        <v/>
      </c>
    </row>
    <row r="2784" spans="1:6">
      <c r="A2784" s="60">
        <v>277900</v>
      </c>
      <c r="B2784" s="60">
        <f t="shared" si="216"/>
        <v>5271622</v>
      </c>
      <c r="C2784" s="60">
        <f t="shared" si="219"/>
        <v>5271622</v>
      </c>
      <c r="D2784" s="61">
        <f t="shared" si="215"/>
        <v>1</v>
      </c>
      <c r="E2784" s="64">
        <f t="shared" si="217"/>
        <v>527.16221412388802</v>
      </c>
      <c r="F2784" s="62" t="str">
        <f t="shared" si="218"/>
        <v/>
      </c>
    </row>
    <row r="2785" spans="1:6">
      <c r="A2785" s="60">
        <v>278000</v>
      </c>
      <c r="B2785" s="60">
        <f t="shared" si="216"/>
        <v>5272571</v>
      </c>
      <c r="C2785" s="60">
        <f t="shared" si="219"/>
        <v>5272571</v>
      </c>
      <c r="D2785" s="61">
        <f t="shared" si="215"/>
        <v>1</v>
      </c>
      <c r="E2785" s="64">
        <f t="shared" si="217"/>
        <v>527.25705305856275</v>
      </c>
      <c r="F2785" s="62" t="str">
        <f t="shared" si="218"/>
        <v/>
      </c>
    </row>
    <row r="2786" spans="1:6">
      <c r="A2786" s="60">
        <v>278100</v>
      </c>
      <c r="B2786" s="60">
        <f t="shared" si="216"/>
        <v>5273519</v>
      </c>
      <c r="C2786" s="60">
        <f t="shared" si="219"/>
        <v>5273519</v>
      </c>
      <c r="D2786" s="61">
        <f t="shared" si="215"/>
        <v>1</v>
      </c>
      <c r="E2786" s="64">
        <f t="shared" si="217"/>
        <v>527.35187493740841</v>
      </c>
      <c r="F2786" s="62" t="str">
        <f t="shared" si="218"/>
        <v/>
      </c>
    </row>
    <row r="2787" spans="1:6">
      <c r="A2787" s="60">
        <v>278200</v>
      </c>
      <c r="B2787" s="60">
        <f t="shared" si="216"/>
        <v>5274467</v>
      </c>
      <c r="C2787" s="60">
        <f t="shared" si="219"/>
        <v>5274467</v>
      </c>
      <c r="D2787" s="61">
        <f t="shared" si="215"/>
        <v>1</v>
      </c>
      <c r="E2787" s="64">
        <f t="shared" si="217"/>
        <v>527.44667976962376</v>
      </c>
      <c r="F2787" s="62" t="str">
        <f t="shared" si="218"/>
        <v/>
      </c>
    </row>
    <row r="2788" spans="1:6">
      <c r="A2788" s="60">
        <v>278300</v>
      </c>
      <c r="B2788" s="60">
        <f t="shared" si="216"/>
        <v>5275415</v>
      </c>
      <c r="C2788" s="60">
        <f t="shared" si="219"/>
        <v>5275415</v>
      </c>
      <c r="D2788" s="61">
        <f t="shared" si="215"/>
        <v>1</v>
      </c>
      <c r="E2788" s="64">
        <f t="shared" si="217"/>
        <v>527.54146756439911</v>
      </c>
      <c r="F2788" s="62" t="str">
        <f t="shared" si="218"/>
        <v/>
      </c>
    </row>
    <row r="2789" spans="1:6">
      <c r="A2789" s="60">
        <v>278400</v>
      </c>
      <c r="B2789" s="60">
        <f t="shared" si="216"/>
        <v>5276362</v>
      </c>
      <c r="C2789" s="60">
        <f t="shared" si="219"/>
        <v>5276362</v>
      </c>
      <c r="D2789" s="61">
        <f t="shared" si="215"/>
        <v>1</v>
      </c>
      <c r="E2789" s="64">
        <f t="shared" si="217"/>
        <v>527.63623833091674</v>
      </c>
      <c r="F2789" s="62" t="str">
        <f t="shared" si="218"/>
        <v/>
      </c>
    </row>
    <row r="2790" spans="1:6">
      <c r="A2790" s="60">
        <v>278500</v>
      </c>
      <c r="B2790" s="60">
        <f t="shared" si="216"/>
        <v>5277310</v>
      </c>
      <c r="C2790" s="60">
        <f t="shared" si="219"/>
        <v>5277310</v>
      </c>
      <c r="D2790" s="61">
        <f t="shared" si="215"/>
        <v>1</v>
      </c>
      <c r="E2790" s="64">
        <f t="shared" si="217"/>
        <v>527.73099207835048</v>
      </c>
      <c r="F2790" s="62" t="str">
        <f t="shared" si="218"/>
        <v/>
      </c>
    </row>
    <row r="2791" spans="1:6">
      <c r="A2791" s="60">
        <v>278600</v>
      </c>
      <c r="B2791" s="60">
        <f t="shared" si="216"/>
        <v>5278257</v>
      </c>
      <c r="C2791" s="60">
        <f t="shared" si="219"/>
        <v>5278257</v>
      </c>
      <c r="D2791" s="61">
        <f t="shared" si="215"/>
        <v>1</v>
      </c>
      <c r="E2791" s="64">
        <f t="shared" si="217"/>
        <v>527.82572881586589</v>
      </c>
      <c r="F2791" s="62" t="str">
        <f t="shared" si="218"/>
        <v/>
      </c>
    </row>
    <row r="2792" spans="1:6">
      <c r="A2792" s="60">
        <v>278700</v>
      </c>
      <c r="B2792" s="60">
        <f t="shared" si="216"/>
        <v>5279204</v>
      </c>
      <c r="C2792" s="60">
        <f t="shared" si="219"/>
        <v>5279204</v>
      </c>
      <c r="D2792" s="61">
        <f t="shared" si="215"/>
        <v>1</v>
      </c>
      <c r="E2792" s="64">
        <f t="shared" si="217"/>
        <v>527.92044855262043</v>
      </c>
      <c r="F2792" s="62" t="str">
        <f t="shared" si="218"/>
        <v/>
      </c>
    </row>
    <row r="2793" spans="1:6">
      <c r="A2793" s="60">
        <v>278800</v>
      </c>
      <c r="B2793" s="60">
        <f t="shared" si="216"/>
        <v>5280152</v>
      </c>
      <c r="C2793" s="60">
        <f t="shared" si="219"/>
        <v>5280152</v>
      </c>
      <c r="D2793" s="61">
        <f t="shared" si="215"/>
        <v>1</v>
      </c>
      <c r="E2793" s="64">
        <f t="shared" si="217"/>
        <v>528.0151512977634</v>
      </c>
      <c r="F2793" s="62" t="str">
        <f t="shared" si="218"/>
        <v/>
      </c>
    </row>
    <row r="2794" spans="1:6">
      <c r="A2794" s="60">
        <v>278900</v>
      </c>
      <c r="B2794" s="60">
        <f t="shared" si="216"/>
        <v>5281098</v>
      </c>
      <c r="C2794" s="60">
        <f t="shared" si="219"/>
        <v>5281098</v>
      </c>
      <c r="D2794" s="61">
        <f t="shared" si="215"/>
        <v>1</v>
      </c>
      <c r="E2794" s="64">
        <f t="shared" si="217"/>
        <v>528.10983706043578</v>
      </c>
      <c r="F2794" s="62" t="str">
        <f t="shared" si="218"/>
        <v/>
      </c>
    </row>
    <row r="2795" spans="1:6">
      <c r="A2795" s="60">
        <v>279000</v>
      </c>
      <c r="B2795" s="60">
        <f t="shared" si="216"/>
        <v>5282045</v>
      </c>
      <c r="C2795" s="60">
        <f t="shared" si="219"/>
        <v>5282045</v>
      </c>
      <c r="D2795" s="61">
        <f t="shared" si="215"/>
        <v>1</v>
      </c>
      <c r="E2795" s="64">
        <f t="shared" si="217"/>
        <v>528.20450584977027</v>
      </c>
      <c r="F2795" s="62" t="str">
        <f t="shared" si="218"/>
        <v/>
      </c>
    </row>
    <row r="2796" spans="1:6">
      <c r="A2796" s="60">
        <v>279100</v>
      </c>
      <c r="B2796" s="60">
        <f t="shared" si="216"/>
        <v>5282992</v>
      </c>
      <c r="C2796" s="60">
        <f t="shared" si="219"/>
        <v>5282992</v>
      </c>
      <c r="D2796" s="61">
        <f t="shared" si="215"/>
        <v>1</v>
      </c>
      <c r="E2796" s="64">
        <f t="shared" si="217"/>
        <v>528.2991576748916</v>
      </c>
      <c r="F2796" s="62" t="str">
        <f t="shared" si="218"/>
        <v/>
      </c>
    </row>
    <row r="2797" spans="1:6">
      <c r="A2797" s="60">
        <v>279200</v>
      </c>
      <c r="B2797" s="60">
        <f t="shared" si="216"/>
        <v>5283938</v>
      </c>
      <c r="C2797" s="60">
        <f t="shared" si="219"/>
        <v>5283938</v>
      </c>
      <c r="D2797" s="61">
        <f t="shared" si="215"/>
        <v>1</v>
      </c>
      <c r="E2797" s="64">
        <f t="shared" si="217"/>
        <v>528.39379254491621</v>
      </c>
      <c r="F2797" s="62" t="str">
        <f t="shared" si="218"/>
        <v/>
      </c>
    </row>
    <row r="2798" spans="1:6">
      <c r="A2798" s="60">
        <v>279300</v>
      </c>
      <c r="B2798" s="60">
        <f t="shared" si="216"/>
        <v>5284884</v>
      </c>
      <c r="C2798" s="60">
        <f t="shared" si="219"/>
        <v>5284884</v>
      </c>
      <c r="D2798" s="61">
        <f t="shared" si="215"/>
        <v>1</v>
      </c>
      <c r="E2798" s="64">
        <f t="shared" si="217"/>
        <v>528.48841046895245</v>
      </c>
      <c r="F2798" s="62" t="str">
        <f t="shared" si="218"/>
        <v/>
      </c>
    </row>
    <row r="2799" spans="1:6">
      <c r="A2799" s="60">
        <v>279400</v>
      </c>
      <c r="B2799" s="60">
        <f t="shared" si="216"/>
        <v>5285830</v>
      </c>
      <c r="C2799" s="60">
        <f t="shared" si="219"/>
        <v>5285830</v>
      </c>
      <c r="D2799" s="61">
        <f t="shared" si="215"/>
        <v>1</v>
      </c>
      <c r="E2799" s="64">
        <f t="shared" si="217"/>
        <v>528.58301145610039</v>
      </c>
      <c r="F2799" s="62" t="str">
        <f t="shared" si="218"/>
        <v/>
      </c>
    </row>
    <row r="2800" spans="1:6">
      <c r="A2800" s="60">
        <v>279500</v>
      </c>
      <c r="B2800" s="60">
        <f t="shared" si="216"/>
        <v>5286776</v>
      </c>
      <c r="C2800" s="60">
        <f t="shared" si="219"/>
        <v>5286776</v>
      </c>
      <c r="D2800" s="61">
        <f t="shared" si="215"/>
        <v>1</v>
      </c>
      <c r="E2800" s="64">
        <f t="shared" si="217"/>
        <v>528.67759551545214</v>
      </c>
      <c r="F2800" s="62" t="str">
        <f t="shared" si="218"/>
        <v/>
      </c>
    </row>
    <row r="2801" spans="1:6">
      <c r="A2801" s="60">
        <v>279600</v>
      </c>
      <c r="B2801" s="60">
        <f t="shared" si="216"/>
        <v>5287722</v>
      </c>
      <c r="C2801" s="60">
        <f t="shared" si="219"/>
        <v>5287722</v>
      </c>
      <c r="D2801" s="61">
        <f t="shared" si="215"/>
        <v>1</v>
      </c>
      <c r="E2801" s="64">
        <f t="shared" si="217"/>
        <v>528.77216265609138</v>
      </c>
      <c r="F2801" s="62" t="str">
        <f t="shared" si="218"/>
        <v/>
      </c>
    </row>
    <row r="2802" spans="1:6">
      <c r="A2802" s="60">
        <v>279700</v>
      </c>
      <c r="B2802" s="60">
        <f t="shared" si="216"/>
        <v>5288667</v>
      </c>
      <c r="C2802" s="60">
        <f t="shared" si="219"/>
        <v>5288667</v>
      </c>
      <c r="D2802" s="61">
        <f t="shared" si="215"/>
        <v>1</v>
      </c>
      <c r="E2802" s="64">
        <f t="shared" si="217"/>
        <v>528.86671288709408</v>
      </c>
      <c r="F2802" s="62" t="str">
        <f t="shared" si="218"/>
        <v/>
      </c>
    </row>
    <row r="2803" spans="1:6">
      <c r="A2803" s="60">
        <v>279800</v>
      </c>
      <c r="B2803" s="60">
        <f t="shared" si="216"/>
        <v>5289612</v>
      </c>
      <c r="C2803" s="60">
        <f t="shared" si="219"/>
        <v>5289612</v>
      </c>
      <c r="D2803" s="61">
        <f t="shared" si="215"/>
        <v>1</v>
      </c>
      <c r="E2803" s="64">
        <f t="shared" si="217"/>
        <v>528.96124621752779</v>
      </c>
      <c r="F2803" s="62" t="str">
        <f t="shared" si="218"/>
        <v/>
      </c>
    </row>
    <row r="2804" spans="1:6">
      <c r="A2804" s="60">
        <v>279900</v>
      </c>
      <c r="B2804" s="60">
        <f t="shared" si="216"/>
        <v>5290558</v>
      </c>
      <c r="C2804" s="60">
        <f t="shared" si="219"/>
        <v>5290558</v>
      </c>
      <c r="D2804" s="61">
        <f t="shared" si="215"/>
        <v>1</v>
      </c>
      <c r="E2804" s="64">
        <f t="shared" si="217"/>
        <v>529.05576265645198</v>
      </c>
      <c r="F2804" s="62" t="str">
        <f t="shared" si="218"/>
        <v/>
      </c>
    </row>
    <row r="2805" spans="1:6">
      <c r="A2805" s="60">
        <v>280000</v>
      </c>
      <c r="B2805" s="60">
        <f t="shared" si="216"/>
        <v>5291503</v>
      </c>
      <c r="C2805" s="60">
        <f t="shared" si="219"/>
        <v>5291503</v>
      </c>
      <c r="D2805" s="61">
        <f t="shared" si="215"/>
        <v>1</v>
      </c>
      <c r="E2805" s="64">
        <f t="shared" si="217"/>
        <v>529.15026221291816</v>
      </c>
      <c r="F2805" s="62" t="str">
        <f t="shared" si="218"/>
        <v/>
      </c>
    </row>
    <row r="2806" spans="1:6">
      <c r="A2806" s="60">
        <v>280100</v>
      </c>
      <c r="B2806" s="60">
        <f t="shared" si="216"/>
        <v>5292447</v>
      </c>
      <c r="C2806" s="60">
        <f t="shared" si="219"/>
        <v>5292447</v>
      </c>
      <c r="D2806" s="61">
        <f t="shared" si="215"/>
        <v>1</v>
      </c>
      <c r="E2806" s="64">
        <f t="shared" si="217"/>
        <v>529.24474489596969</v>
      </c>
      <c r="F2806" s="62" t="str">
        <f t="shared" si="218"/>
        <v/>
      </c>
    </row>
    <row r="2807" spans="1:6">
      <c r="A2807" s="60">
        <v>280200</v>
      </c>
      <c r="B2807" s="60">
        <f t="shared" si="216"/>
        <v>5293392</v>
      </c>
      <c r="C2807" s="60">
        <f t="shared" si="219"/>
        <v>5293392</v>
      </c>
      <c r="D2807" s="61">
        <f t="shared" si="215"/>
        <v>1</v>
      </c>
      <c r="E2807" s="64">
        <f t="shared" si="217"/>
        <v>529.33921071464181</v>
      </c>
      <c r="F2807" s="62" t="str">
        <f t="shared" si="218"/>
        <v/>
      </c>
    </row>
    <row r="2808" spans="1:6">
      <c r="A2808" s="60">
        <v>280300</v>
      </c>
      <c r="B2808" s="60">
        <f t="shared" si="216"/>
        <v>5294337</v>
      </c>
      <c r="C2808" s="60">
        <f t="shared" si="219"/>
        <v>5294337</v>
      </c>
      <c r="D2808" s="61">
        <f t="shared" si="215"/>
        <v>1</v>
      </c>
      <c r="E2808" s="64">
        <f t="shared" si="217"/>
        <v>529.43365967796194</v>
      </c>
      <c r="F2808" s="62" t="str">
        <f t="shared" si="218"/>
        <v/>
      </c>
    </row>
    <row r="2809" spans="1:6">
      <c r="A2809" s="60">
        <v>280400</v>
      </c>
      <c r="B2809" s="60">
        <f t="shared" si="216"/>
        <v>5295281</v>
      </c>
      <c r="C2809" s="60">
        <f t="shared" si="219"/>
        <v>5295281</v>
      </c>
      <c r="D2809" s="61">
        <f t="shared" si="215"/>
        <v>1</v>
      </c>
      <c r="E2809" s="64">
        <f t="shared" si="217"/>
        <v>529.52809179494909</v>
      </c>
      <c r="F2809" s="62" t="str">
        <f t="shared" si="218"/>
        <v/>
      </c>
    </row>
    <row r="2810" spans="1:6">
      <c r="A2810" s="60">
        <v>280500</v>
      </c>
      <c r="B2810" s="60">
        <f t="shared" si="216"/>
        <v>5296225</v>
      </c>
      <c r="C2810" s="60">
        <f t="shared" si="219"/>
        <v>5296225</v>
      </c>
      <c r="D2810" s="61">
        <f t="shared" si="215"/>
        <v>1</v>
      </c>
      <c r="E2810" s="64">
        <f t="shared" si="217"/>
        <v>529.62250707461442</v>
      </c>
      <c r="F2810" s="62" t="str">
        <f t="shared" si="218"/>
        <v/>
      </c>
    </row>
    <row r="2811" spans="1:6">
      <c r="A2811" s="60">
        <v>280600</v>
      </c>
      <c r="B2811" s="60">
        <f t="shared" si="216"/>
        <v>5297169</v>
      </c>
      <c r="C2811" s="60">
        <f t="shared" si="219"/>
        <v>5297169</v>
      </c>
      <c r="D2811" s="61">
        <f t="shared" si="215"/>
        <v>1</v>
      </c>
      <c r="E2811" s="64">
        <f t="shared" si="217"/>
        <v>529.71690552596112</v>
      </c>
      <c r="F2811" s="62" t="str">
        <f t="shared" si="218"/>
        <v/>
      </c>
    </row>
    <row r="2812" spans="1:6">
      <c r="A2812" s="60">
        <v>280700</v>
      </c>
      <c r="B2812" s="60">
        <f t="shared" si="216"/>
        <v>5298113</v>
      </c>
      <c r="C2812" s="60">
        <f t="shared" si="219"/>
        <v>5298113</v>
      </c>
      <c r="D2812" s="61">
        <f t="shared" si="215"/>
        <v>1</v>
      </c>
      <c r="E2812" s="64">
        <f t="shared" si="217"/>
        <v>529.81128715798422</v>
      </c>
      <c r="F2812" s="62" t="str">
        <f t="shared" si="218"/>
        <v/>
      </c>
    </row>
    <row r="2813" spans="1:6">
      <c r="A2813" s="60">
        <v>280800</v>
      </c>
      <c r="B2813" s="60">
        <f t="shared" si="216"/>
        <v>5299057</v>
      </c>
      <c r="C2813" s="60">
        <f t="shared" si="219"/>
        <v>5299057</v>
      </c>
      <c r="D2813" s="61">
        <f t="shared" si="215"/>
        <v>1</v>
      </c>
      <c r="E2813" s="64">
        <f t="shared" si="217"/>
        <v>529.90565197967078</v>
      </c>
      <c r="F2813" s="62" t="str">
        <f t="shared" si="218"/>
        <v/>
      </c>
    </row>
    <row r="2814" spans="1:6">
      <c r="A2814" s="60">
        <v>280900</v>
      </c>
      <c r="B2814" s="60">
        <f t="shared" si="216"/>
        <v>5300000</v>
      </c>
      <c r="C2814" s="60">
        <f t="shared" si="219"/>
        <v>5300000</v>
      </c>
      <c r="D2814" s="61">
        <f t="shared" si="215"/>
        <v>1</v>
      </c>
      <c r="E2814" s="64">
        <f t="shared" si="217"/>
        <v>530</v>
      </c>
      <c r="F2814" s="62" t="str">
        <f t="shared" si="218"/>
        <v/>
      </c>
    </row>
    <row r="2815" spans="1:6">
      <c r="A2815" s="60">
        <v>281000</v>
      </c>
      <c r="B2815" s="60">
        <f t="shared" si="216"/>
        <v>5300943</v>
      </c>
      <c r="C2815" s="60">
        <f t="shared" si="219"/>
        <v>5300943</v>
      </c>
      <c r="D2815" s="61">
        <f t="shared" si="215"/>
        <v>1</v>
      </c>
      <c r="E2815" s="64">
        <f t="shared" si="217"/>
        <v>530.09433122794292</v>
      </c>
      <c r="F2815" s="62" t="str">
        <f t="shared" si="218"/>
        <v/>
      </c>
    </row>
    <row r="2816" spans="1:6">
      <c r="A2816" s="60">
        <v>281100</v>
      </c>
      <c r="B2816" s="60">
        <f t="shared" si="216"/>
        <v>5301886</v>
      </c>
      <c r="C2816" s="60">
        <f t="shared" si="219"/>
        <v>5301886</v>
      </c>
      <c r="D2816" s="61">
        <f t="shared" si="215"/>
        <v>1</v>
      </c>
      <c r="E2816" s="64">
        <f t="shared" si="217"/>
        <v>530.18864567246248</v>
      </c>
      <c r="F2816" s="62" t="str">
        <f t="shared" si="218"/>
        <v/>
      </c>
    </row>
    <row r="2817" spans="1:6">
      <c r="A2817" s="60">
        <v>281200</v>
      </c>
      <c r="B2817" s="60">
        <f t="shared" si="216"/>
        <v>5302829</v>
      </c>
      <c r="C2817" s="60">
        <f t="shared" si="219"/>
        <v>5302829</v>
      </c>
      <c r="D2817" s="61">
        <f t="shared" si="215"/>
        <v>1</v>
      </c>
      <c r="E2817" s="64">
        <f t="shared" si="217"/>
        <v>530.28294334251405</v>
      </c>
      <c r="F2817" s="62" t="str">
        <f t="shared" si="218"/>
        <v/>
      </c>
    </row>
    <row r="2818" spans="1:6">
      <c r="A2818" s="60">
        <v>281300</v>
      </c>
      <c r="B2818" s="60">
        <f t="shared" si="216"/>
        <v>5303772</v>
      </c>
      <c r="C2818" s="60">
        <f t="shared" si="219"/>
        <v>5303772</v>
      </c>
      <c r="D2818" s="61">
        <f t="shared" si="215"/>
        <v>1</v>
      </c>
      <c r="E2818" s="64">
        <f t="shared" si="217"/>
        <v>530.37722424704475</v>
      </c>
      <c r="F2818" s="62" t="str">
        <f t="shared" si="218"/>
        <v/>
      </c>
    </row>
    <row r="2819" spans="1:6">
      <c r="A2819" s="60">
        <v>281400</v>
      </c>
      <c r="B2819" s="60">
        <f t="shared" si="216"/>
        <v>5304715</v>
      </c>
      <c r="C2819" s="60">
        <f t="shared" si="219"/>
        <v>5304715</v>
      </c>
      <c r="D2819" s="61">
        <f t="shared" si="215"/>
        <v>1</v>
      </c>
      <c r="E2819" s="64">
        <f t="shared" si="217"/>
        <v>530.4714883949938</v>
      </c>
      <c r="F2819" s="62" t="str">
        <f t="shared" si="218"/>
        <v/>
      </c>
    </row>
    <row r="2820" spans="1:6">
      <c r="A2820" s="60">
        <v>281500</v>
      </c>
      <c r="B2820" s="60">
        <f t="shared" si="216"/>
        <v>5305657</v>
      </c>
      <c r="C2820" s="60">
        <f t="shared" si="219"/>
        <v>5305657</v>
      </c>
      <c r="D2820" s="61">
        <f t="shared" si="215"/>
        <v>1</v>
      </c>
      <c r="E2820" s="64">
        <f t="shared" si="217"/>
        <v>530.56573579529243</v>
      </c>
      <c r="F2820" s="62" t="str">
        <f t="shared" si="218"/>
        <v/>
      </c>
    </row>
    <row r="2821" spans="1:6">
      <c r="A2821" s="60">
        <v>281600</v>
      </c>
      <c r="B2821" s="60">
        <f t="shared" si="216"/>
        <v>5306600</v>
      </c>
      <c r="C2821" s="60">
        <f t="shared" si="219"/>
        <v>5306600</v>
      </c>
      <c r="D2821" s="61">
        <f t="shared" ref="D2821:D2884" si="220">(A2821-INDEX(兵力区间,MATCH(A2821,兵力区间,1)))/(INDEX(兵力区间,MATCH(A2821,兵力区间,1)+1)-INDEX(兵力区间,MATCH(A2821,兵力区间,1)))*((INDEX(兵力调节,MATCH(A2821,兵力区间,1)+1,2)-INDEX(兵力调节,MATCH(A2821,兵力区间,1),2)))+INDEX(兵力调节,MATCH(A2821,兵力区间,1),2)</f>
        <v>1</v>
      </c>
      <c r="E2821" s="64">
        <f t="shared" si="217"/>
        <v>530.65996645686403</v>
      </c>
      <c r="F2821" s="62" t="str">
        <f t="shared" si="218"/>
        <v/>
      </c>
    </row>
    <row r="2822" spans="1:6">
      <c r="A2822" s="60">
        <v>281700</v>
      </c>
      <c r="B2822" s="60">
        <f t="shared" si="216"/>
        <v>5307542</v>
      </c>
      <c r="C2822" s="60">
        <f t="shared" si="219"/>
        <v>5307542</v>
      </c>
      <c r="D2822" s="61">
        <f t="shared" si="220"/>
        <v>1</v>
      </c>
      <c r="E2822" s="64">
        <f t="shared" si="217"/>
        <v>530.75418038862392</v>
      </c>
      <c r="F2822" s="62" t="str">
        <f t="shared" si="218"/>
        <v/>
      </c>
    </row>
    <row r="2823" spans="1:6">
      <c r="A2823" s="60">
        <v>281800</v>
      </c>
      <c r="B2823" s="60">
        <f t="shared" ref="B2823:B2886" si="221">ROUND(D2823*E2823*10000,0)</f>
        <v>5308484</v>
      </c>
      <c r="C2823" s="60">
        <f t="shared" si="219"/>
        <v>5308484</v>
      </c>
      <c r="D2823" s="61">
        <f t="shared" si="220"/>
        <v>1</v>
      </c>
      <c r="E2823" s="64">
        <f t="shared" ref="E2823:E2886" si="222">A2823^0.5</f>
        <v>530.84837759947993</v>
      </c>
      <c r="F2823" s="62" t="str">
        <f t="shared" si="218"/>
        <v/>
      </c>
    </row>
    <row r="2824" spans="1:6">
      <c r="A2824" s="60">
        <v>281900</v>
      </c>
      <c r="B2824" s="60">
        <f t="shared" si="221"/>
        <v>5309426</v>
      </c>
      <c r="C2824" s="60">
        <f t="shared" si="219"/>
        <v>5309426</v>
      </c>
      <c r="D2824" s="61">
        <f t="shared" si="220"/>
        <v>1</v>
      </c>
      <c r="E2824" s="64">
        <f t="shared" si="222"/>
        <v>530.94255809833135</v>
      </c>
      <c r="F2824" s="62" t="str">
        <f t="shared" ref="F2824:F2887" si="223">IF(B2824&lt;B2823,1,"")</f>
        <v/>
      </c>
    </row>
    <row r="2825" spans="1:6">
      <c r="A2825" s="60">
        <v>282000</v>
      </c>
      <c r="B2825" s="60">
        <f t="shared" si="221"/>
        <v>5310367</v>
      </c>
      <c r="C2825" s="60">
        <f t="shared" si="219"/>
        <v>5310367</v>
      </c>
      <c r="D2825" s="61">
        <f t="shared" si="220"/>
        <v>1</v>
      </c>
      <c r="E2825" s="64">
        <f t="shared" si="222"/>
        <v>531.03672189407018</v>
      </c>
      <c r="F2825" s="62" t="str">
        <f t="shared" si="223"/>
        <v/>
      </c>
    </row>
    <row r="2826" spans="1:6">
      <c r="A2826" s="60">
        <v>282100</v>
      </c>
      <c r="B2826" s="60">
        <f t="shared" si="221"/>
        <v>5311309</v>
      </c>
      <c r="C2826" s="60">
        <f t="shared" si="219"/>
        <v>5311309</v>
      </c>
      <c r="D2826" s="61">
        <f t="shared" si="220"/>
        <v>1</v>
      </c>
      <c r="E2826" s="64">
        <f t="shared" si="222"/>
        <v>531.13086899558004</v>
      </c>
      <c r="F2826" s="62" t="str">
        <f t="shared" si="223"/>
        <v/>
      </c>
    </row>
    <row r="2827" spans="1:6">
      <c r="A2827" s="60">
        <v>282200</v>
      </c>
      <c r="B2827" s="60">
        <f t="shared" si="221"/>
        <v>5312250</v>
      </c>
      <c r="C2827" s="60">
        <f t="shared" ref="C2827:C2890" si="224">ROUND(D2827*E2827*10000,0)</f>
        <v>5312250</v>
      </c>
      <c r="D2827" s="61">
        <f t="shared" si="220"/>
        <v>1</v>
      </c>
      <c r="E2827" s="64">
        <f t="shared" si="222"/>
        <v>531.22499941173703</v>
      </c>
      <c r="F2827" s="62" t="str">
        <f t="shared" si="223"/>
        <v/>
      </c>
    </row>
    <row r="2828" spans="1:6">
      <c r="A2828" s="60">
        <v>282300</v>
      </c>
      <c r="B2828" s="60">
        <f t="shared" si="221"/>
        <v>5313191</v>
      </c>
      <c r="C2828" s="60">
        <f t="shared" si="224"/>
        <v>5313191</v>
      </c>
      <c r="D2828" s="61">
        <f t="shared" si="220"/>
        <v>1</v>
      </c>
      <c r="E2828" s="64">
        <f t="shared" si="222"/>
        <v>531.31911315140917</v>
      </c>
      <c r="F2828" s="62" t="str">
        <f t="shared" si="223"/>
        <v/>
      </c>
    </row>
    <row r="2829" spans="1:6">
      <c r="A2829" s="60">
        <v>282400</v>
      </c>
      <c r="B2829" s="60">
        <f t="shared" si="221"/>
        <v>5314132</v>
      </c>
      <c r="C2829" s="60">
        <f t="shared" si="224"/>
        <v>5314132</v>
      </c>
      <c r="D2829" s="61">
        <f t="shared" si="220"/>
        <v>1</v>
      </c>
      <c r="E2829" s="64">
        <f t="shared" si="222"/>
        <v>531.41321022345687</v>
      </c>
      <c r="F2829" s="62" t="str">
        <f t="shared" si="223"/>
        <v/>
      </c>
    </row>
    <row r="2830" spans="1:6">
      <c r="A2830" s="60">
        <v>282500</v>
      </c>
      <c r="B2830" s="60">
        <f t="shared" si="221"/>
        <v>5315073</v>
      </c>
      <c r="C2830" s="60">
        <f t="shared" si="224"/>
        <v>5315073</v>
      </c>
      <c r="D2830" s="61">
        <f t="shared" si="220"/>
        <v>1</v>
      </c>
      <c r="E2830" s="64">
        <f t="shared" si="222"/>
        <v>531.50729063673248</v>
      </c>
      <c r="F2830" s="62" t="str">
        <f t="shared" si="223"/>
        <v/>
      </c>
    </row>
    <row r="2831" spans="1:6">
      <c r="A2831" s="60">
        <v>282600</v>
      </c>
      <c r="B2831" s="60">
        <f t="shared" si="221"/>
        <v>5316014</v>
      </c>
      <c r="C2831" s="60">
        <f t="shared" si="224"/>
        <v>5316014</v>
      </c>
      <c r="D2831" s="61">
        <f t="shared" si="220"/>
        <v>1</v>
      </c>
      <c r="E2831" s="64">
        <f t="shared" si="222"/>
        <v>531.60135440008048</v>
      </c>
      <c r="F2831" s="62" t="str">
        <f t="shared" si="223"/>
        <v/>
      </c>
    </row>
    <row r="2832" spans="1:6">
      <c r="A2832" s="60">
        <v>282700</v>
      </c>
      <c r="B2832" s="60">
        <f t="shared" si="221"/>
        <v>5316954</v>
      </c>
      <c r="C2832" s="60">
        <f t="shared" si="224"/>
        <v>5316954</v>
      </c>
      <c r="D2832" s="61">
        <f t="shared" si="220"/>
        <v>1</v>
      </c>
      <c r="E2832" s="64">
        <f t="shared" si="222"/>
        <v>531.69540152233776</v>
      </c>
      <c r="F2832" s="62" t="str">
        <f t="shared" si="223"/>
        <v/>
      </c>
    </row>
    <row r="2833" spans="1:6">
      <c r="A2833" s="60">
        <v>282800</v>
      </c>
      <c r="B2833" s="60">
        <f t="shared" si="221"/>
        <v>5317894</v>
      </c>
      <c r="C2833" s="60">
        <f t="shared" si="224"/>
        <v>5317894</v>
      </c>
      <c r="D2833" s="61">
        <f t="shared" si="220"/>
        <v>1</v>
      </c>
      <c r="E2833" s="64">
        <f t="shared" si="222"/>
        <v>531.78943201233324</v>
      </c>
      <c r="F2833" s="62" t="str">
        <f t="shared" si="223"/>
        <v/>
      </c>
    </row>
    <row r="2834" spans="1:6">
      <c r="A2834" s="60">
        <v>282900</v>
      </c>
      <c r="B2834" s="60">
        <f t="shared" si="221"/>
        <v>5318834</v>
      </c>
      <c r="C2834" s="60">
        <f t="shared" si="224"/>
        <v>5318834</v>
      </c>
      <c r="D2834" s="61">
        <f t="shared" si="220"/>
        <v>1</v>
      </c>
      <c r="E2834" s="64">
        <f t="shared" si="222"/>
        <v>531.88344587888798</v>
      </c>
      <c r="F2834" s="62" t="str">
        <f t="shared" si="223"/>
        <v/>
      </c>
    </row>
    <row r="2835" spans="1:6">
      <c r="A2835" s="60">
        <v>283000</v>
      </c>
      <c r="B2835" s="60">
        <f t="shared" si="221"/>
        <v>5319774</v>
      </c>
      <c r="C2835" s="60">
        <f t="shared" si="224"/>
        <v>5319774</v>
      </c>
      <c r="D2835" s="61">
        <f t="shared" si="220"/>
        <v>1</v>
      </c>
      <c r="E2835" s="64">
        <f t="shared" si="222"/>
        <v>531.97744313081546</v>
      </c>
      <c r="F2835" s="62" t="str">
        <f t="shared" si="223"/>
        <v/>
      </c>
    </row>
    <row r="2836" spans="1:6">
      <c r="A2836" s="60">
        <v>283100</v>
      </c>
      <c r="B2836" s="60">
        <f t="shared" si="221"/>
        <v>5320714</v>
      </c>
      <c r="C2836" s="60">
        <f t="shared" si="224"/>
        <v>5320714</v>
      </c>
      <c r="D2836" s="61">
        <f t="shared" si="220"/>
        <v>1</v>
      </c>
      <c r="E2836" s="64">
        <f t="shared" si="222"/>
        <v>532.07142377692116</v>
      </c>
      <c r="F2836" s="62" t="str">
        <f t="shared" si="223"/>
        <v/>
      </c>
    </row>
    <row r="2837" spans="1:6">
      <c r="A2837" s="60">
        <v>283200</v>
      </c>
      <c r="B2837" s="60">
        <f t="shared" si="221"/>
        <v>5321654</v>
      </c>
      <c r="C2837" s="60">
        <f t="shared" si="224"/>
        <v>5321654</v>
      </c>
      <c r="D2837" s="61">
        <f t="shared" si="220"/>
        <v>1</v>
      </c>
      <c r="E2837" s="64">
        <f t="shared" si="222"/>
        <v>532.16538782600287</v>
      </c>
      <c r="F2837" s="62" t="str">
        <f t="shared" si="223"/>
        <v/>
      </c>
    </row>
    <row r="2838" spans="1:6">
      <c r="A2838" s="60">
        <v>283300</v>
      </c>
      <c r="B2838" s="60">
        <f t="shared" si="221"/>
        <v>5322593</v>
      </c>
      <c r="C2838" s="60">
        <f t="shared" si="224"/>
        <v>5322593</v>
      </c>
      <c r="D2838" s="61">
        <f t="shared" si="220"/>
        <v>1</v>
      </c>
      <c r="E2838" s="64">
        <f t="shared" si="222"/>
        <v>532.25933528685061</v>
      </c>
      <c r="F2838" s="62" t="str">
        <f t="shared" si="223"/>
        <v/>
      </c>
    </row>
    <row r="2839" spans="1:6">
      <c r="A2839" s="60">
        <v>283400</v>
      </c>
      <c r="B2839" s="60">
        <f t="shared" si="221"/>
        <v>5323533</v>
      </c>
      <c r="C2839" s="60">
        <f t="shared" si="224"/>
        <v>5323533</v>
      </c>
      <c r="D2839" s="61">
        <f t="shared" si="220"/>
        <v>1</v>
      </c>
      <c r="E2839" s="64">
        <f t="shared" si="222"/>
        <v>532.35326616824659</v>
      </c>
      <c r="F2839" s="62" t="str">
        <f t="shared" si="223"/>
        <v/>
      </c>
    </row>
    <row r="2840" spans="1:6">
      <c r="A2840" s="60">
        <v>283500</v>
      </c>
      <c r="B2840" s="60">
        <f t="shared" si="221"/>
        <v>5324472</v>
      </c>
      <c r="C2840" s="60">
        <f t="shared" si="224"/>
        <v>5324472</v>
      </c>
      <c r="D2840" s="61">
        <f t="shared" si="220"/>
        <v>1</v>
      </c>
      <c r="E2840" s="64">
        <f t="shared" si="222"/>
        <v>532.44718047896549</v>
      </c>
      <c r="F2840" s="62" t="str">
        <f t="shared" si="223"/>
        <v/>
      </c>
    </row>
    <row r="2841" spans="1:6">
      <c r="A2841" s="60">
        <v>283600</v>
      </c>
      <c r="B2841" s="60">
        <f t="shared" si="221"/>
        <v>5325411</v>
      </c>
      <c r="C2841" s="60">
        <f t="shared" si="224"/>
        <v>5325411</v>
      </c>
      <c r="D2841" s="61">
        <f t="shared" si="220"/>
        <v>1</v>
      </c>
      <c r="E2841" s="64">
        <f t="shared" si="222"/>
        <v>532.54107822777394</v>
      </c>
      <c r="F2841" s="62" t="str">
        <f t="shared" si="223"/>
        <v/>
      </c>
    </row>
    <row r="2842" spans="1:6">
      <c r="A2842" s="60">
        <v>283700</v>
      </c>
      <c r="B2842" s="60">
        <f t="shared" si="221"/>
        <v>5326350</v>
      </c>
      <c r="C2842" s="60">
        <f t="shared" si="224"/>
        <v>5326350</v>
      </c>
      <c r="D2842" s="61">
        <f t="shared" si="220"/>
        <v>1</v>
      </c>
      <c r="E2842" s="64">
        <f t="shared" si="222"/>
        <v>532.63495942343104</v>
      </c>
      <c r="F2842" s="62" t="str">
        <f t="shared" si="223"/>
        <v/>
      </c>
    </row>
    <row r="2843" spans="1:6">
      <c r="A2843" s="60">
        <v>283800</v>
      </c>
      <c r="B2843" s="60">
        <f t="shared" si="221"/>
        <v>5327288</v>
      </c>
      <c r="C2843" s="60">
        <f t="shared" si="224"/>
        <v>5327288</v>
      </c>
      <c r="D2843" s="61">
        <f t="shared" si="220"/>
        <v>1</v>
      </c>
      <c r="E2843" s="64">
        <f t="shared" si="222"/>
        <v>532.72882407468808</v>
      </c>
      <c r="F2843" s="62" t="str">
        <f t="shared" si="223"/>
        <v/>
      </c>
    </row>
    <row r="2844" spans="1:6">
      <c r="A2844" s="60">
        <v>283900</v>
      </c>
      <c r="B2844" s="60">
        <f t="shared" si="221"/>
        <v>5328227</v>
      </c>
      <c r="C2844" s="60">
        <f t="shared" si="224"/>
        <v>5328227</v>
      </c>
      <c r="D2844" s="61">
        <f t="shared" si="220"/>
        <v>1</v>
      </c>
      <c r="E2844" s="64">
        <f t="shared" si="222"/>
        <v>532.82267219028881</v>
      </c>
      <c r="F2844" s="62" t="str">
        <f t="shared" si="223"/>
        <v/>
      </c>
    </row>
    <row r="2845" spans="1:6">
      <c r="A2845" s="60">
        <v>284000</v>
      </c>
      <c r="B2845" s="60">
        <f t="shared" si="221"/>
        <v>5329165</v>
      </c>
      <c r="C2845" s="60">
        <f t="shared" si="224"/>
        <v>5329165</v>
      </c>
      <c r="D2845" s="61">
        <f t="shared" si="220"/>
        <v>1</v>
      </c>
      <c r="E2845" s="64">
        <f t="shared" si="222"/>
        <v>532.91650377896906</v>
      </c>
      <c r="F2845" s="62" t="str">
        <f t="shared" si="223"/>
        <v/>
      </c>
    </row>
    <row r="2846" spans="1:6">
      <c r="A2846" s="60">
        <v>284100</v>
      </c>
      <c r="B2846" s="60">
        <f t="shared" si="221"/>
        <v>5330103</v>
      </c>
      <c r="C2846" s="60">
        <f t="shared" si="224"/>
        <v>5330103</v>
      </c>
      <c r="D2846" s="61">
        <f t="shared" si="220"/>
        <v>1</v>
      </c>
      <c r="E2846" s="64">
        <f t="shared" si="222"/>
        <v>533.01031884945712</v>
      </c>
      <c r="F2846" s="62" t="str">
        <f t="shared" si="223"/>
        <v/>
      </c>
    </row>
    <row r="2847" spans="1:6">
      <c r="A2847" s="60">
        <v>284200</v>
      </c>
      <c r="B2847" s="60">
        <f t="shared" si="221"/>
        <v>5331041</v>
      </c>
      <c r="C2847" s="60">
        <f t="shared" si="224"/>
        <v>5331041</v>
      </c>
      <c r="D2847" s="61">
        <f t="shared" si="220"/>
        <v>1</v>
      </c>
      <c r="E2847" s="64">
        <f t="shared" si="222"/>
        <v>533.10411741047358</v>
      </c>
      <c r="F2847" s="62" t="str">
        <f t="shared" si="223"/>
        <v/>
      </c>
    </row>
    <row r="2848" spans="1:6">
      <c r="A2848" s="60">
        <v>284300</v>
      </c>
      <c r="B2848" s="60">
        <f t="shared" si="221"/>
        <v>5331979</v>
      </c>
      <c r="C2848" s="60">
        <f t="shared" si="224"/>
        <v>5331979</v>
      </c>
      <c r="D2848" s="61">
        <f t="shared" si="220"/>
        <v>1</v>
      </c>
      <c r="E2848" s="64">
        <f t="shared" si="222"/>
        <v>533.19789947073127</v>
      </c>
      <c r="F2848" s="62" t="str">
        <f t="shared" si="223"/>
        <v/>
      </c>
    </row>
    <row r="2849" spans="1:6">
      <c r="A2849" s="60">
        <v>284400</v>
      </c>
      <c r="B2849" s="60">
        <f t="shared" si="221"/>
        <v>5332917</v>
      </c>
      <c r="C2849" s="60">
        <f t="shared" si="224"/>
        <v>5332917</v>
      </c>
      <c r="D2849" s="61">
        <f t="shared" si="220"/>
        <v>1</v>
      </c>
      <c r="E2849" s="64">
        <f t="shared" si="222"/>
        <v>533.29166503893532</v>
      </c>
      <c r="F2849" s="62" t="str">
        <f t="shared" si="223"/>
        <v/>
      </c>
    </row>
    <row r="2850" spans="1:6">
      <c r="A2850" s="60">
        <v>284500</v>
      </c>
      <c r="B2850" s="60">
        <f t="shared" si="221"/>
        <v>5333854</v>
      </c>
      <c r="C2850" s="60">
        <f t="shared" si="224"/>
        <v>5333854</v>
      </c>
      <c r="D2850" s="61">
        <f t="shared" si="220"/>
        <v>1</v>
      </c>
      <c r="E2850" s="64">
        <f t="shared" si="222"/>
        <v>533.38541412378345</v>
      </c>
      <c r="F2850" s="62" t="str">
        <f t="shared" si="223"/>
        <v/>
      </c>
    </row>
    <row r="2851" spans="1:6">
      <c r="A2851" s="60">
        <v>284600</v>
      </c>
      <c r="B2851" s="60">
        <f t="shared" si="221"/>
        <v>5334791</v>
      </c>
      <c r="C2851" s="60">
        <f t="shared" si="224"/>
        <v>5334791</v>
      </c>
      <c r="D2851" s="61">
        <f t="shared" si="220"/>
        <v>1</v>
      </c>
      <c r="E2851" s="64">
        <f t="shared" si="222"/>
        <v>533.47914673396565</v>
      </c>
      <c r="F2851" s="62" t="str">
        <f t="shared" si="223"/>
        <v/>
      </c>
    </row>
    <row r="2852" spans="1:6">
      <c r="A2852" s="60">
        <v>284700</v>
      </c>
      <c r="B2852" s="60">
        <f t="shared" si="221"/>
        <v>5335729</v>
      </c>
      <c r="C2852" s="60">
        <f t="shared" si="224"/>
        <v>5335729</v>
      </c>
      <c r="D2852" s="61">
        <f t="shared" si="220"/>
        <v>1</v>
      </c>
      <c r="E2852" s="64">
        <f t="shared" si="222"/>
        <v>533.57286287816396</v>
      </c>
      <c r="F2852" s="62" t="str">
        <f t="shared" si="223"/>
        <v/>
      </c>
    </row>
    <row r="2853" spans="1:6">
      <c r="A2853" s="60">
        <v>284800</v>
      </c>
      <c r="B2853" s="60">
        <f t="shared" si="221"/>
        <v>5336666</v>
      </c>
      <c r="C2853" s="60">
        <f t="shared" si="224"/>
        <v>5336666</v>
      </c>
      <c r="D2853" s="61">
        <f t="shared" si="220"/>
        <v>1</v>
      </c>
      <c r="E2853" s="64">
        <f t="shared" si="222"/>
        <v>533.66656256505337</v>
      </c>
      <c r="F2853" s="62" t="str">
        <f t="shared" si="223"/>
        <v/>
      </c>
    </row>
    <row r="2854" spans="1:6">
      <c r="A2854" s="60">
        <v>284900</v>
      </c>
      <c r="B2854" s="60">
        <f t="shared" si="221"/>
        <v>5337602</v>
      </c>
      <c r="C2854" s="60">
        <f t="shared" si="224"/>
        <v>5337602</v>
      </c>
      <c r="D2854" s="61">
        <f t="shared" si="220"/>
        <v>1</v>
      </c>
      <c r="E2854" s="64">
        <f t="shared" si="222"/>
        <v>533.76024580330068</v>
      </c>
      <c r="F2854" s="62" t="str">
        <f t="shared" si="223"/>
        <v/>
      </c>
    </row>
    <row r="2855" spans="1:6">
      <c r="A2855" s="60">
        <v>285000</v>
      </c>
      <c r="B2855" s="60">
        <f t="shared" si="221"/>
        <v>5338539</v>
      </c>
      <c r="C2855" s="60">
        <f t="shared" si="224"/>
        <v>5338539</v>
      </c>
      <c r="D2855" s="61">
        <f t="shared" si="220"/>
        <v>1</v>
      </c>
      <c r="E2855" s="64">
        <f t="shared" si="222"/>
        <v>533.85391260156553</v>
      </c>
      <c r="F2855" s="62" t="str">
        <f t="shared" si="223"/>
        <v/>
      </c>
    </row>
    <row r="2856" spans="1:6">
      <c r="A2856" s="60">
        <v>285100</v>
      </c>
      <c r="B2856" s="60">
        <f t="shared" si="221"/>
        <v>5339476</v>
      </c>
      <c r="C2856" s="60">
        <f t="shared" si="224"/>
        <v>5339476</v>
      </c>
      <c r="D2856" s="61">
        <f t="shared" si="220"/>
        <v>1</v>
      </c>
      <c r="E2856" s="64">
        <f t="shared" si="222"/>
        <v>533.94756296849971</v>
      </c>
      <c r="F2856" s="62" t="str">
        <f t="shared" si="223"/>
        <v/>
      </c>
    </row>
    <row r="2857" spans="1:6">
      <c r="A2857" s="60">
        <v>285200</v>
      </c>
      <c r="B2857" s="60">
        <f t="shared" si="221"/>
        <v>5340412</v>
      </c>
      <c r="C2857" s="60">
        <f t="shared" si="224"/>
        <v>5340412</v>
      </c>
      <c r="D2857" s="61">
        <f t="shared" si="220"/>
        <v>1</v>
      </c>
      <c r="E2857" s="64">
        <f t="shared" si="222"/>
        <v>534.04119691274752</v>
      </c>
      <c r="F2857" s="62" t="str">
        <f t="shared" si="223"/>
        <v/>
      </c>
    </row>
    <row r="2858" spans="1:6">
      <c r="A2858" s="60">
        <v>285300</v>
      </c>
      <c r="B2858" s="60">
        <f t="shared" si="221"/>
        <v>5341348</v>
      </c>
      <c r="C2858" s="60">
        <f t="shared" si="224"/>
        <v>5341348</v>
      </c>
      <c r="D2858" s="61">
        <f t="shared" si="220"/>
        <v>1</v>
      </c>
      <c r="E2858" s="64">
        <f t="shared" si="222"/>
        <v>534.13481444294564</v>
      </c>
      <c r="F2858" s="62" t="str">
        <f t="shared" si="223"/>
        <v/>
      </c>
    </row>
    <row r="2859" spans="1:6">
      <c r="A2859" s="60">
        <v>285400</v>
      </c>
      <c r="B2859" s="60">
        <f t="shared" si="221"/>
        <v>5342284</v>
      </c>
      <c r="C2859" s="60">
        <f t="shared" si="224"/>
        <v>5342284</v>
      </c>
      <c r="D2859" s="61">
        <f t="shared" si="220"/>
        <v>1</v>
      </c>
      <c r="E2859" s="64">
        <f t="shared" si="222"/>
        <v>534.22841556772323</v>
      </c>
      <c r="F2859" s="62" t="str">
        <f t="shared" si="223"/>
        <v/>
      </c>
    </row>
    <row r="2860" spans="1:6">
      <c r="A2860" s="60">
        <v>285500</v>
      </c>
      <c r="B2860" s="60">
        <f t="shared" si="221"/>
        <v>5343220</v>
      </c>
      <c r="C2860" s="60">
        <f t="shared" si="224"/>
        <v>5343220</v>
      </c>
      <c r="D2860" s="61">
        <f t="shared" si="220"/>
        <v>1</v>
      </c>
      <c r="E2860" s="64">
        <f t="shared" si="222"/>
        <v>534.32200029570186</v>
      </c>
      <c r="F2860" s="62" t="str">
        <f t="shared" si="223"/>
        <v/>
      </c>
    </row>
    <row r="2861" spans="1:6">
      <c r="A2861" s="60">
        <v>285600</v>
      </c>
      <c r="B2861" s="60">
        <f t="shared" si="221"/>
        <v>5344156</v>
      </c>
      <c r="C2861" s="60">
        <f t="shared" si="224"/>
        <v>5344156</v>
      </c>
      <c r="D2861" s="61">
        <f t="shared" si="220"/>
        <v>1</v>
      </c>
      <c r="E2861" s="64">
        <f t="shared" si="222"/>
        <v>534.41556863549545</v>
      </c>
      <c r="F2861" s="62" t="str">
        <f t="shared" si="223"/>
        <v/>
      </c>
    </row>
    <row r="2862" spans="1:6">
      <c r="A2862" s="60">
        <v>285700</v>
      </c>
      <c r="B2862" s="60">
        <f t="shared" si="221"/>
        <v>5345091</v>
      </c>
      <c r="C2862" s="60">
        <f t="shared" si="224"/>
        <v>5345091</v>
      </c>
      <c r="D2862" s="61">
        <f t="shared" si="220"/>
        <v>1</v>
      </c>
      <c r="E2862" s="64">
        <f t="shared" si="222"/>
        <v>534.50912059571067</v>
      </c>
      <c r="F2862" s="62" t="str">
        <f t="shared" si="223"/>
        <v/>
      </c>
    </row>
    <row r="2863" spans="1:6">
      <c r="A2863" s="60">
        <v>285800</v>
      </c>
      <c r="B2863" s="60">
        <f t="shared" si="221"/>
        <v>5346027</v>
      </c>
      <c r="C2863" s="60">
        <f t="shared" si="224"/>
        <v>5346027</v>
      </c>
      <c r="D2863" s="61">
        <f t="shared" si="220"/>
        <v>1</v>
      </c>
      <c r="E2863" s="64">
        <f t="shared" si="222"/>
        <v>534.60265618494634</v>
      </c>
      <c r="F2863" s="62" t="str">
        <f t="shared" si="223"/>
        <v/>
      </c>
    </row>
    <row r="2864" spans="1:6">
      <c r="A2864" s="60">
        <v>285900</v>
      </c>
      <c r="B2864" s="60">
        <f t="shared" si="221"/>
        <v>5346962</v>
      </c>
      <c r="C2864" s="60">
        <f t="shared" si="224"/>
        <v>5346962</v>
      </c>
      <c r="D2864" s="61">
        <f t="shared" si="220"/>
        <v>1</v>
      </c>
      <c r="E2864" s="64">
        <f t="shared" si="222"/>
        <v>534.696175411794</v>
      </c>
      <c r="F2864" s="62" t="str">
        <f t="shared" si="223"/>
        <v/>
      </c>
    </row>
    <row r="2865" spans="1:6">
      <c r="A2865" s="60">
        <v>286000</v>
      </c>
      <c r="B2865" s="60">
        <f t="shared" si="221"/>
        <v>5347897</v>
      </c>
      <c r="C2865" s="60">
        <f t="shared" si="224"/>
        <v>5347897</v>
      </c>
      <c r="D2865" s="61">
        <f t="shared" si="220"/>
        <v>1</v>
      </c>
      <c r="E2865" s="64">
        <f t="shared" si="222"/>
        <v>534.78967828483746</v>
      </c>
      <c r="F2865" s="62" t="str">
        <f t="shared" si="223"/>
        <v/>
      </c>
    </row>
    <row r="2866" spans="1:6">
      <c r="A2866" s="60">
        <v>286100</v>
      </c>
      <c r="B2866" s="60">
        <f t="shared" si="221"/>
        <v>5348832</v>
      </c>
      <c r="C2866" s="60">
        <f t="shared" si="224"/>
        <v>5348832</v>
      </c>
      <c r="D2866" s="61">
        <f t="shared" si="220"/>
        <v>1</v>
      </c>
      <c r="E2866" s="64">
        <f t="shared" si="222"/>
        <v>534.88316481265326</v>
      </c>
      <c r="F2866" s="62" t="str">
        <f t="shared" si="223"/>
        <v/>
      </c>
    </row>
    <row r="2867" spans="1:6">
      <c r="A2867" s="60">
        <v>286200</v>
      </c>
      <c r="B2867" s="60">
        <f t="shared" si="221"/>
        <v>5349766</v>
      </c>
      <c r="C2867" s="60">
        <f t="shared" si="224"/>
        <v>5349766</v>
      </c>
      <c r="D2867" s="61">
        <f t="shared" si="220"/>
        <v>1</v>
      </c>
      <c r="E2867" s="64">
        <f t="shared" si="222"/>
        <v>534.9766350038102</v>
      </c>
      <c r="F2867" s="62" t="str">
        <f t="shared" si="223"/>
        <v/>
      </c>
    </row>
    <row r="2868" spans="1:6">
      <c r="A2868" s="60">
        <v>286300</v>
      </c>
      <c r="B2868" s="60">
        <f t="shared" si="221"/>
        <v>5350701</v>
      </c>
      <c r="C2868" s="60">
        <f t="shared" si="224"/>
        <v>5350701</v>
      </c>
      <c r="D2868" s="61">
        <f t="shared" si="220"/>
        <v>1</v>
      </c>
      <c r="E2868" s="64">
        <f t="shared" si="222"/>
        <v>535.07008886686981</v>
      </c>
      <c r="F2868" s="62" t="str">
        <f t="shared" si="223"/>
        <v/>
      </c>
    </row>
    <row r="2869" spans="1:6">
      <c r="A2869" s="60">
        <v>286400</v>
      </c>
      <c r="B2869" s="60">
        <f t="shared" si="221"/>
        <v>5351635</v>
      </c>
      <c r="C2869" s="60">
        <f t="shared" si="224"/>
        <v>5351635</v>
      </c>
      <c r="D2869" s="61">
        <f t="shared" si="220"/>
        <v>1</v>
      </c>
      <c r="E2869" s="64">
        <f t="shared" si="222"/>
        <v>535.16352641038611</v>
      </c>
      <c r="F2869" s="62" t="str">
        <f t="shared" si="223"/>
        <v/>
      </c>
    </row>
    <row r="2870" spans="1:6">
      <c r="A2870" s="60">
        <v>286500</v>
      </c>
      <c r="B2870" s="60">
        <f t="shared" si="221"/>
        <v>5352569</v>
      </c>
      <c r="C2870" s="60">
        <f t="shared" si="224"/>
        <v>5352569</v>
      </c>
      <c r="D2870" s="61">
        <f t="shared" si="220"/>
        <v>1</v>
      </c>
      <c r="E2870" s="64">
        <f t="shared" si="222"/>
        <v>535.2569476429054</v>
      </c>
      <c r="F2870" s="62" t="str">
        <f t="shared" si="223"/>
        <v/>
      </c>
    </row>
    <row r="2871" spans="1:6">
      <c r="A2871" s="60">
        <v>286600</v>
      </c>
      <c r="B2871" s="60">
        <f t="shared" si="221"/>
        <v>5353504</v>
      </c>
      <c r="C2871" s="60">
        <f t="shared" si="224"/>
        <v>5353504</v>
      </c>
      <c r="D2871" s="61">
        <f t="shared" si="220"/>
        <v>1</v>
      </c>
      <c r="E2871" s="64">
        <f t="shared" si="222"/>
        <v>535.35035257296693</v>
      </c>
      <c r="F2871" s="62" t="str">
        <f t="shared" si="223"/>
        <v/>
      </c>
    </row>
    <row r="2872" spans="1:6">
      <c r="A2872" s="60">
        <v>286700</v>
      </c>
      <c r="B2872" s="60">
        <f t="shared" si="221"/>
        <v>5354437</v>
      </c>
      <c r="C2872" s="60">
        <f t="shared" si="224"/>
        <v>5354437</v>
      </c>
      <c r="D2872" s="61">
        <f t="shared" si="220"/>
        <v>1</v>
      </c>
      <c r="E2872" s="64">
        <f t="shared" si="222"/>
        <v>535.4437412091022</v>
      </c>
      <c r="F2872" s="62" t="str">
        <f t="shared" si="223"/>
        <v/>
      </c>
    </row>
    <row r="2873" spans="1:6">
      <c r="A2873" s="60">
        <v>286800</v>
      </c>
      <c r="B2873" s="60">
        <f t="shared" si="221"/>
        <v>5355371</v>
      </c>
      <c r="C2873" s="60">
        <f t="shared" si="224"/>
        <v>5355371</v>
      </c>
      <c r="D2873" s="61">
        <f t="shared" si="220"/>
        <v>1</v>
      </c>
      <c r="E2873" s="64">
        <f t="shared" si="222"/>
        <v>535.53711355983535</v>
      </c>
      <c r="F2873" s="62" t="str">
        <f t="shared" si="223"/>
        <v/>
      </c>
    </row>
    <row r="2874" spans="1:6">
      <c r="A2874" s="60">
        <v>286900</v>
      </c>
      <c r="B2874" s="60">
        <f t="shared" si="221"/>
        <v>5356305</v>
      </c>
      <c r="C2874" s="60">
        <f t="shared" si="224"/>
        <v>5356305</v>
      </c>
      <c r="D2874" s="61">
        <f t="shared" si="220"/>
        <v>1</v>
      </c>
      <c r="E2874" s="64">
        <f t="shared" si="222"/>
        <v>535.63046963368322</v>
      </c>
      <c r="F2874" s="62" t="str">
        <f t="shared" si="223"/>
        <v/>
      </c>
    </row>
    <row r="2875" spans="1:6">
      <c r="A2875" s="60">
        <v>287000</v>
      </c>
      <c r="B2875" s="60">
        <f t="shared" si="221"/>
        <v>5357238</v>
      </c>
      <c r="C2875" s="60">
        <f t="shared" si="224"/>
        <v>5357238</v>
      </c>
      <c r="D2875" s="61">
        <f t="shared" si="220"/>
        <v>1</v>
      </c>
      <c r="E2875" s="64">
        <f t="shared" si="222"/>
        <v>535.72380943915493</v>
      </c>
      <c r="F2875" s="62" t="str">
        <f t="shared" si="223"/>
        <v/>
      </c>
    </row>
    <row r="2876" spans="1:6">
      <c r="A2876" s="60">
        <v>287100</v>
      </c>
      <c r="B2876" s="60">
        <f t="shared" si="221"/>
        <v>5358171</v>
      </c>
      <c r="C2876" s="60">
        <f t="shared" si="224"/>
        <v>5358171</v>
      </c>
      <c r="D2876" s="61">
        <f t="shared" si="220"/>
        <v>1</v>
      </c>
      <c r="E2876" s="64">
        <f t="shared" si="222"/>
        <v>535.81713298475256</v>
      </c>
      <c r="F2876" s="62" t="str">
        <f t="shared" si="223"/>
        <v/>
      </c>
    </row>
    <row r="2877" spans="1:6">
      <c r="A2877" s="60">
        <v>287200</v>
      </c>
      <c r="B2877" s="60">
        <f t="shared" si="221"/>
        <v>5359104</v>
      </c>
      <c r="C2877" s="60">
        <f t="shared" si="224"/>
        <v>5359104</v>
      </c>
      <c r="D2877" s="61">
        <f t="shared" si="220"/>
        <v>1</v>
      </c>
      <c r="E2877" s="64">
        <f t="shared" si="222"/>
        <v>535.91044027897044</v>
      </c>
      <c r="F2877" s="62" t="str">
        <f t="shared" si="223"/>
        <v/>
      </c>
    </row>
    <row r="2878" spans="1:6">
      <c r="A2878" s="60">
        <v>287300</v>
      </c>
      <c r="B2878" s="60">
        <f t="shared" si="221"/>
        <v>5360037</v>
      </c>
      <c r="C2878" s="60">
        <f t="shared" si="224"/>
        <v>5360037</v>
      </c>
      <c r="D2878" s="61">
        <f t="shared" si="220"/>
        <v>1</v>
      </c>
      <c r="E2878" s="64">
        <f t="shared" si="222"/>
        <v>536.00373133029586</v>
      </c>
      <c r="F2878" s="62" t="str">
        <f t="shared" si="223"/>
        <v/>
      </c>
    </row>
    <row r="2879" spans="1:6">
      <c r="A2879" s="60">
        <v>287400</v>
      </c>
      <c r="B2879" s="60">
        <f t="shared" si="221"/>
        <v>5360970</v>
      </c>
      <c r="C2879" s="60">
        <f t="shared" si="224"/>
        <v>5360970</v>
      </c>
      <c r="D2879" s="61">
        <f t="shared" si="220"/>
        <v>1</v>
      </c>
      <c r="E2879" s="64">
        <f t="shared" si="222"/>
        <v>536.09700614720839</v>
      </c>
      <c r="F2879" s="62" t="str">
        <f t="shared" si="223"/>
        <v/>
      </c>
    </row>
    <row r="2880" spans="1:6">
      <c r="A2880" s="60">
        <v>287500</v>
      </c>
      <c r="B2880" s="60">
        <f t="shared" si="221"/>
        <v>5361903</v>
      </c>
      <c r="C2880" s="60">
        <f t="shared" si="224"/>
        <v>5361903</v>
      </c>
      <c r="D2880" s="61">
        <f t="shared" si="220"/>
        <v>1</v>
      </c>
      <c r="E2880" s="64">
        <f t="shared" si="222"/>
        <v>536.19026473818042</v>
      </c>
      <c r="F2880" s="62" t="str">
        <f t="shared" si="223"/>
        <v/>
      </c>
    </row>
    <row r="2881" spans="1:6">
      <c r="A2881" s="60">
        <v>287600</v>
      </c>
      <c r="B2881" s="60">
        <f t="shared" si="221"/>
        <v>5362835</v>
      </c>
      <c r="C2881" s="60">
        <f t="shared" si="224"/>
        <v>5362835</v>
      </c>
      <c r="D2881" s="61">
        <f t="shared" si="220"/>
        <v>1</v>
      </c>
      <c r="E2881" s="64">
        <f t="shared" si="222"/>
        <v>536.28350711167684</v>
      </c>
      <c r="F2881" s="62" t="str">
        <f t="shared" si="223"/>
        <v/>
      </c>
    </row>
    <row r="2882" spans="1:6">
      <c r="A2882" s="60">
        <v>287700</v>
      </c>
      <c r="B2882" s="60">
        <f t="shared" si="221"/>
        <v>5363767</v>
      </c>
      <c r="C2882" s="60">
        <f t="shared" si="224"/>
        <v>5363767</v>
      </c>
      <c r="D2882" s="61">
        <f t="shared" si="220"/>
        <v>1</v>
      </c>
      <c r="E2882" s="64">
        <f t="shared" si="222"/>
        <v>536.37673327615539</v>
      </c>
      <c r="F2882" s="62" t="str">
        <f t="shared" si="223"/>
        <v/>
      </c>
    </row>
    <row r="2883" spans="1:6">
      <c r="A2883" s="60">
        <v>287800</v>
      </c>
      <c r="B2883" s="60">
        <f t="shared" si="221"/>
        <v>5364699</v>
      </c>
      <c r="C2883" s="60">
        <f t="shared" si="224"/>
        <v>5364699</v>
      </c>
      <c r="D2883" s="61">
        <f t="shared" si="220"/>
        <v>1</v>
      </c>
      <c r="E2883" s="64">
        <f t="shared" si="222"/>
        <v>536.4699432400663</v>
      </c>
      <c r="F2883" s="62" t="str">
        <f t="shared" si="223"/>
        <v/>
      </c>
    </row>
    <row r="2884" spans="1:6">
      <c r="A2884" s="60">
        <v>287900</v>
      </c>
      <c r="B2884" s="60">
        <f t="shared" si="221"/>
        <v>5365631</v>
      </c>
      <c r="C2884" s="60">
        <f t="shared" si="224"/>
        <v>5365631</v>
      </c>
      <c r="D2884" s="61">
        <f t="shared" si="220"/>
        <v>1</v>
      </c>
      <c r="E2884" s="64">
        <f t="shared" si="222"/>
        <v>536.56313701185252</v>
      </c>
      <c r="F2884" s="62" t="str">
        <f t="shared" si="223"/>
        <v/>
      </c>
    </row>
    <row r="2885" spans="1:6">
      <c r="A2885" s="60">
        <v>288000</v>
      </c>
      <c r="B2885" s="60">
        <f t="shared" si="221"/>
        <v>5366563</v>
      </c>
      <c r="C2885" s="60">
        <f t="shared" si="224"/>
        <v>5366563</v>
      </c>
      <c r="D2885" s="61">
        <f t="shared" ref="D2885:D2948" si="225">(A2885-INDEX(兵力区间,MATCH(A2885,兵力区间,1)))/(INDEX(兵力区间,MATCH(A2885,兵力区间,1)+1)-INDEX(兵力区间,MATCH(A2885,兵力区间,1)))*((INDEX(兵力调节,MATCH(A2885,兵力区间,1)+1,2)-INDEX(兵力调节,MATCH(A2885,兵力区间,1),2)))+INDEX(兵力调节,MATCH(A2885,兵力区间,1),2)</f>
        <v>1</v>
      </c>
      <c r="E2885" s="64">
        <f t="shared" si="222"/>
        <v>536.6563145999495</v>
      </c>
      <c r="F2885" s="62" t="str">
        <f t="shared" si="223"/>
        <v/>
      </c>
    </row>
    <row r="2886" spans="1:6">
      <c r="A2886" s="60">
        <v>288100</v>
      </c>
      <c r="B2886" s="60">
        <f t="shared" si="221"/>
        <v>5367495</v>
      </c>
      <c r="C2886" s="60">
        <f t="shared" si="224"/>
        <v>5367495</v>
      </c>
      <c r="D2886" s="61">
        <f t="shared" si="225"/>
        <v>1</v>
      </c>
      <c r="E2886" s="64">
        <f t="shared" si="222"/>
        <v>536.74947601278564</v>
      </c>
      <c r="F2886" s="62" t="str">
        <f t="shared" si="223"/>
        <v/>
      </c>
    </row>
    <row r="2887" spans="1:6">
      <c r="A2887" s="60">
        <v>288200</v>
      </c>
      <c r="B2887" s="60">
        <f t="shared" ref="B2887:B2950" si="226">ROUND(D2887*E2887*10000,0)</f>
        <v>5368426</v>
      </c>
      <c r="C2887" s="60">
        <f t="shared" si="224"/>
        <v>5368426</v>
      </c>
      <c r="D2887" s="61">
        <f t="shared" si="225"/>
        <v>1</v>
      </c>
      <c r="E2887" s="64">
        <f t="shared" ref="E2887:E2950" si="227">A2887^0.5</f>
        <v>536.84262125878195</v>
      </c>
      <c r="F2887" s="62" t="str">
        <f t="shared" si="223"/>
        <v/>
      </c>
    </row>
    <row r="2888" spans="1:6">
      <c r="A2888" s="60">
        <v>288300</v>
      </c>
      <c r="B2888" s="60">
        <f t="shared" si="226"/>
        <v>5369358</v>
      </c>
      <c r="C2888" s="60">
        <f t="shared" si="224"/>
        <v>5369358</v>
      </c>
      <c r="D2888" s="61">
        <f t="shared" si="225"/>
        <v>1</v>
      </c>
      <c r="E2888" s="64">
        <f t="shared" si="227"/>
        <v>536.93575034635194</v>
      </c>
      <c r="F2888" s="62" t="str">
        <f t="shared" ref="F2888:F2951" si="228">IF(B2888&lt;B2887,1,"")</f>
        <v/>
      </c>
    </row>
    <row r="2889" spans="1:6">
      <c r="A2889" s="60">
        <v>288400</v>
      </c>
      <c r="B2889" s="60">
        <f t="shared" si="226"/>
        <v>5370289</v>
      </c>
      <c r="C2889" s="60">
        <f t="shared" si="224"/>
        <v>5370289</v>
      </c>
      <c r="D2889" s="61">
        <f t="shared" si="225"/>
        <v>1</v>
      </c>
      <c r="E2889" s="64">
        <f t="shared" si="227"/>
        <v>537.02886328390207</v>
      </c>
      <c r="F2889" s="62" t="str">
        <f t="shared" si="228"/>
        <v/>
      </c>
    </row>
    <row r="2890" spans="1:6">
      <c r="A2890" s="60">
        <v>288500</v>
      </c>
      <c r="B2890" s="60">
        <f t="shared" si="226"/>
        <v>5371220</v>
      </c>
      <c r="C2890" s="60">
        <f t="shared" si="224"/>
        <v>5371220</v>
      </c>
      <c r="D2890" s="61">
        <f t="shared" si="225"/>
        <v>1</v>
      </c>
      <c r="E2890" s="64">
        <f t="shared" si="227"/>
        <v>537.12196007983141</v>
      </c>
      <c r="F2890" s="62" t="str">
        <f t="shared" si="228"/>
        <v/>
      </c>
    </row>
    <row r="2891" spans="1:6">
      <c r="A2891" s="60">
        <v>288600</v>
      </c>
      <c r="B2891" s="60">
        <f t="shared" si="226"/>
        <v>5372150</v>
      </c>
      <c r="C2891" s="60">
        <f t="shared" ref="C2891:C2954" si="229">ROUND(D2891*E2891*10000,0)</f>
        <v>5372150</v>
      </c>
      <c r="D2891" s="61">
        <f t="shared" si="225"/>
        <v>1</v>
      </c>
      <c r="E2891" s="64">
        <f t="shared" si="227"/>
        <v>537.21504074253176</v>
      </c>
      <c r="F2891" s="62" t="str">
        <f t="shared" si="228"/>
        <v/>
      </c>
    </row>
    <row r="2892" spans="1:6">
      <c r="A2892" s="60">
        <v>288700</v>
      </c>
      <c r="B2892" s="60">
        <f t="shared" si="226"/>
        <v>5373081</v>
      </c>
      <c r="C2892" s="60">
        <f t="shared" si="229"/>
        <v>5373081</v>
      </c>
      <c r="D2892" s="61">
        <f t="shared" si="225"/>
        <v>1</v>
      </c>
      <c r="E2892" s="64">
        <f t="shared" si="227"/>
        <v>537.30810528038751</v>
      </c>
      <c r="F2892" s="62" t="str">
        <f t="shared" si="228"/>
        <v/>
      </c>
    </row>
    <row r="2893" spans="1:6">
      <c r="A2893" s="60">
        <v>288800</v>
      </c>
      <c r="B2893" s="60">
        <f t="shared" si="226"/>
        <v>5374012</v>
      </c>
      <c r="C2893" s="60">
        <f t="shared" si="229"/>
        <v>5374012</v>
      </c>
      <c r="D2893" s="61">
        <f t="shared" si="225"/>
        <v>1</v>
      </c>
      <c r="E2893" s="64">
        <f t="shared" si="227"/>
        <v>537.40115370177614</v>
      </c>
      <c r="F2893" s="62" t="str">
        <f t="shared" si="228"/>
        <v/>
      </c>
    </row>
    <row r="2894" spans="1:6">
      <c r="A2894" s="60">
        <v>288900</v>
      </c>
      <c r="B2894" s="60">
        <f t="shared" si="226"/>
        <v>5374942</v>
      </c>
      <c r="C2894" s="60">
        <f t="shared" si="229"/>
        <v>5374942</v>
      </c>
      <c r="D2894" s="61">
        <f t="shared" si="225"/>
        <v>1</v>
      </c>
      <c r="E2894" s="64">
        <f t="shared" si="227"/>
        <v>537.4941860150675</v>
      </c>
      <c r="F2894" s="62" t="str">
        <f t="shared" si="228"/>
        <v/>
      </c>
    </row>
    <row r="2895" spans="1:6">
      <c r="A2895" s="60">
        <v>289000</v>
      </c>
      <c r="B2895" s="60">
        <f t="shared" si="226"/>
        <v>5375872</v>
      </c>
      <c r="C2895" s="60">
        <f t="shared" si="229"/>
        <v>5375872</v>
      </c>
      <c r="D2895" s="61">
        <f t="shared" si="225"/>
        <v>1</v>
      </c>
      <c r="E2895" s="64">
        <f t="shared" si="227"/>
        <v>537.58720222862451</v>
      </c>
      <c r="F2895" s="62" t="str">
        <f t="shared" si="228"/>
        <v/>
      </c>
    </row>
    <row r="2896" spans="1:6">
      <c r="A2896" s="60">
        <v>289100</v>
      </c>
      <c r="B2896" s="60">
        <f t="shared" si="226"/>
        <v>5376802</v>
      </c>
      <c r="C2896" s="60">
        <f t="shared" si="229"/>
        <v>5376802</v>
      </c>
      <c r="D2896" s="61">
        <f t="shared" si="225"/>
        <v>1</v>
      </c>
      <c r="E2896" s="64">
        <f t="shared" si="227"/>
        <v>537.68020235080257</v>
      </c>
      <c r="F2896" s="62" t="str">
        <f t="shared" si="228"/>
        <v/>
      </c>
    </row>
    <row r="2897" spans="1:6">
      <c r="A2897" s="60">
        <v>289200</v>
      </c>
      <c r="B2897" s="60">
        <f t="shared" si="226"/>
        <v>5377732</v>
      </c>
      <c r="C2897" s="60">
        <f t="shared" si="229"/>
        <v>5377732</v>
      </c>
      <c r="D2897" s="61">
        <f t="shared" si="225"/>
        <v>1</v>
      </c>
      <c r="E2897" s="64">
        <f t="shared" si="227"/>
        <v>537.77318638995007</v>
      </c>
      <c r="F2897" s="62" t="str">
        <f t="shared" si="228"/>
        <v/>
      </c>
    </row>
    <row r="2898" spans="1:6">
      <c r="A2898" s="60">
        <v>289300</v>
      </c>
      <c r="B2898" s="60">
        <f t="shared" si="226"/>
        <v>5378662</v>
      </c>
      <c r="C2898" s="60">
        <f t="shared" si="229"/>
        <v>5378662</v>
      </c>
      <c r="D2898" s="61">
        <f t="shared" si="225"/>
        <v>1</v>
      </c>
      <c r="E2898" s="64">
        <f t="shared" si="227"/>
        <v>537.86615435440808</v>
      </c>
      <c r="F2898" s="62" t="str">
        <f t="shared" si="228"/>
        <v/>
      </c>
    </row>
    <row r="2899" spans="1:6">
      <c r="A2899" s="60">
        <v>289400</v>
      </c>
      <c r="B2899" s="60">
        <f t="shared" si="226"/>
        <v>5379591</v>
      </c>
      <c r="C2899" s="60">
        <f t="shared" si="229"/>
        <v>5379591</v>
      </c>
      <c r="D2899" s="61">
        <f t="shared" si="225"/>
        <v>1</v>
      </c>
      <c r="E2899" s="64">
        <f t="shared" si="227"/>
        <v>537.95910625251065</v>
      </c>
      <c r="F2899" s="62" t="str">
        <f t="shared" si="228"/>
        <v/>
      </c>
    </row>
    <row r="2900" spans="1:6">
      <c r="A2900" s="60">
        <v>289500</v>
      </c>
      <c r="B2900" s="60">
        <f t="shared" si="226"/>
        <v>5380520</v>
      </c>
      <c r="C2900" s="60">
        <f t="shared" si="229"/>
        <v>5380520</v>
      </c>
      <c r="D2900" s="61">
        <f t="shared" si="225"/>
        <v>1</v>
      </c>
      <c r="E2900" s="64">
        <f t="shared" si="227"/>
        <v>538.0520420925842</v>
      </c>
      <c r="F2900" s="62" t="str">
        <f t="shared" si="228"/>
        <v/>
      </c>
    </row>
    <row r="2901" spans="1:6">
      <c r="A2901" s="60">
        <v>289600</v>
      </c>
      <c r="B2901" s="60">
        <f t="shared" si="226"/>
        <v>5381450</v>
      </c>
      <c r="C2901" s="60">
        <f t="shared" si="229"/>
        <v>5381450</v>
      </c>
      <c r="D2901" s="61">
        <f t="shared" si="225"/>
        <v>1</v>
      </c>
      <c r="E2901" s="64">
        <f t="shared" si="227"/>
        <v>538.14496188294845</v>
      </c>
      <c r="F2901" s="62" t="str">
        <f t="shared" si="228"/>
        <v/>
      </c>
    </row>
    <row r="2902" spans="1:6">
      <c r="A2902" s="60">
        <v>289700</v>
      </c>
      <c r="B2902" s="60">
        <f t="shared" si="226"/>
        <v>5382379</v>
      </c>
      <c r="C2902" s="60">
        <f t="shared" si="229"/>
        <v>5382379</v>
      </c>
      <c r="D2902" s="61">
        <f t="shared" si="225"/>
        <v>1</v>
      </c>
      <c r="E2902" s="64">
        <f t="shared" si="227"/>
        <v>538.23786563191561</v>
      </c>
      <c r="F2902" s="62" t="str">
        <f t="shared" si="228"/>
        <v/>
      </c>
    </row>
    <row r="2903" spans="1:6">
      <c r="A2903" s="60">
        <v>289800</v>
      </c>
      <c r="B2903" s="60">
        <f t="shared" si="226"/>
        <v>5383308</v>
      </c>
      <c r="C2903" s="60">
        <f t="shared" si="229"/>
        <v>5383308</v>
      </c>
      <c r="D2903" s="61">
        <f t="shared" si="225"/>
        <v>1</v>
      </c>
      <c r="E2903" s="64">
        <f t="shared" si="227"/>
        <v>538.33075334779085</v>
      </c>
      <c r="F2903" s="62" t="str">
        <f t="shared" si="228"/>
        <v/>
      </c>
    </row>
    <row r="2904" spans="1:6">
      <c r="A2904" s="60">
        <v>289900</v>
      </c>
      <c r="B2904" s="60">
        <f t="shared" si="226"/>
        <v>5384236</v>
      </c>
      <c r="C2904" s="60">
        <f t="shared" si="229"/>
        <v>5384236</v>
      </c>
      <c r="D2904" s="61">
        <f t="shared" si="225"/>
        <v>1</v>
      </c>
      <c r="E2904" s="64">
        <f t="shared" si="227"/>
        <v>538.42362503887216</v>
      </c>
      <c r="F2904" s="62" t="str">
        <f t="shared" si="228"/>
        <v/>
      </c>
    </row>
    <row r="2905" spans="1:6">
      <c r="A2905" s="60">
        <v>290000</v>
      </c>
      <c r="B2905" s="60">
        <f t="shared" si="226"/>
        <v>5385165</v>
      </c>
      <c r="C2905" s="60">
        <f t="shared" si="229"/>
        <v>5385165</v>
      </c>
      <c r="D2905" s="61">
        <f t="shared" si="225"/>
        <v>1</v>
      </c>
      <c r="E2905" s="64">
        <f t="shared" si="227"/>
        <v>538.51648071345039</v>
      </c>
      <c r="F2905" s="62" t="str">
        <f t="shared" si="228"/>
        <v/>
      </c>
    </row>
    <row r="2906" spans="1:6">
      <c r="A2906" s="60">
        <v>290100</v>
      </c>
      <c r="B2906" s="60">
        <f t="shared" si="226"/>
        <v>5386093</v>
      </c>
      <c r="C2906" s="60">
        <f t="shared" si="229"/>
        <v>5386093</v>
      </c>
      <c r="D2906" s="61">
        <f t="shared" si="225"/>
        <v>1</v>
      </c>
      <c r="E2906" s="64">
        <f t="shared" si="227"/>
        <v>538.60932037980922</v>
      </c>
      <c r="F2906" s="62" t="str">
        <f t="shared" si="228"/>
        <v/>
      </c>
    </row>
    <row r="2907" spans="1:6">
      <c r="A2907" s="60">
        <v>290200</v>
      </c>
      <c r="B2907" s="60">
        <f t="shared" si="226"/>
        <v>5387021</v>
      </c>
      <c r="C2907" s="60">
        <f t="shared" si="229"/>
        <v>5387021</v>
      </c>
      <c r="D2907" s="61">
        <f t="shared" si="225"/>
        <v>1</v>
      </c>
      <c r="E2907" s="64">
        <f t="shared" si="227"/>
        <v>538.70214404622527</v>
      </c>
      <c r="F2907" s="62" t="str">
        <f t="shared" si="228"/>
        <v/>
      </c>
    </row>
    <row r="2908" spans="1:6">
      <c r="A2908" s="60">
        <v>290300</v>
      </c>
      <c r="B2908" s="60">
        <f t="shared" si="226"/>
        <v>5387950</v>
      </c>
      <c r="C2908" s="60">
        <f t="shared" si="229"/>
        <v>5387950</v>
      </c>
      <c r="D2908" s="61">
        <f t="shared" si="225"/>
        <v>1</v>
      </c>
      <c r="E2908" s="64">
        <f t="shared" si="227"/>
        <v>538.79495172096779</v>
      </c>
      <c r="F2908" s="62" t="str">
        <f t="shared" si="228"/>
        <v/>
      </c>
    </row>
    <row r="2909" spans="1:6">
      <c r="A2909" s="60">
        <v>290400</v>
      </c>
      <c r="B2909" s="60">
        <f t="shared" si="226"/>
        <v>5388877</v>
      </c>
      <c r="C2909" s="60">
        <f t="shared" si="229"/>
        <v>5388877</v>
      </c>
      <c r="D2909" s="61">
        <f t="shared" si="225"/>
        <v>1</v>
      </c>
      <c r="E2909" s="64">
        <f t="shared" si="227"/>
        <v>538.88774341229919</v>
      </c>
      <c r="F2909" s="62" t="str">
        <f t="shared" si="228"/>
        <v/>
      </c>
    </row>
    <row r="2910" spans="1:6">
      <c r="A2910" s="60">
        <v>290500</v>
      </c>
      <c r="B2910" s="60">
        <f t="shared" si="226"/>
        <v>5389805</v>
      </c>
      <c r="C2910" s="60">
        <f t="shared" si="229"/>
        <v>5389805</v>
      </c>
      <c r="D2910" s="61">
        <f t="shared" si="225"/>
        <v>1</v>
      </c>
      <c r="E2910" s="64">
        <f t="shared" si="227"/>
        <v>538.98051912847461</v>
      </c>
      <c r="F2910" s="62" t="str">
        <f t="shared" si="228"/>
        <v/>
      </c>
    </row>
    <row r="2911" spans="1:6">
      <c r="A2911" s="60">
        <v>290600</v>
      </c>
      <c r="B2911" s="60">
        <f t="shared" si="226"/>
        <v>5390733</v>
      </c>
      <c r="C2911" s="60">
        <f t="shared" si="229"/>
        <v>5390733</v>
      </c>
      <c r="D2911" s="61">
        <f t="shared" si="225"/>
        <v>1</v>
      </c>
      <c r="E2911" s="64">
        <f t="shared" si="227"/>
        <v>539.07327887774215</v>
      </c>
      <c r="F2911" s="62" t="str">
        <f t="shared" si="228"/>
        <v/>
      </c>
    </row>
    <row r="2912" spans="1:6">
      <c r="A2912" s="60">
        <v>290700</v>
      </c>
      <c r="B2912" s="60">
        <f t="shared" si="226"/>
        <v>5391660</v>
      </c>
      <c r="C2912" s="60">
        <f t="shared" si="229"/>
        <v>5391660</v>
      </c>
      <c r="D2912" s="61">
        <f t="shared" si="225"/>
        <v>1</v>
      </c>
      <c r="E2912" s="64">
        <f t="shared" si="227"/>
        <v>539.16602266834286</v>
      </c>
      <c r="F2912" s="62" t="str">
        <f t="shared" si="228"/>
        <v/>
      </c>
    </row>
    <row r="2913" spans="1:6">
      <c r="A2913" s="60">
        <v>290800</v>
      </c>
      <c r="B2913" s="60">
        <f t="shared" si="226"/>
        <v>5392588</v>
      </c>
      <c r="C2913" s="60">
        <f t="shared" si="229"/>
        <v>5392588</v>
      </c>
      <c r="D2913" s="61">
        <f t="shared" si="225"/>
        <v>1</v>
      </c>
      <c r="E2913" s="64">
        <f t="shared" si="227"/>
        <v>539.2587505085105</v>
      </c>
      <c r="F2913" s="62" t="str">
        <f t="shared" si="228"/>
        <v/>
      </c>
    </row>
    <row r="2914" spans="1:6">
      <c r="A2914" s="60">
        <v>290900</v>
      </c>
      <c r="B2914" s="60">
        <f t="shared" si="226"/>
        <v>5393515</v>
      </c>
      <c r="C2914" s="60">
        <f t="shared" si="229"/>
        <v>5393515</v>
      </c>
      <c r="D2914" s="61">
        <f t="shared" si="225"/>
        <v>1</v>
      </c>
      <c r="E2914" s="64">
        <f t="shared" si="227"/>
        <v>539.35146240647202</v>
      </c>
      <c r="F2914" s="62" t="str">
        <f t="shared" si="228"/>
        <v/>
      </c>
    </row>
    <row r="2915" spans="1:6">
      <c r="A2915" s="60">
        <v>291000</v>
      </c>
      <c r="B2915" s="60">
        <f t="shared" si="226"/>
        <v>5394442</v>
      </c>
      <c r="C2915" s="60">
        <f t="shared" si="229"/>
        <v>5394442</v>
      </c>
      <c r="D2915" s="61">
        <f t="shared" si="225"/>
        <v>1</v>
      </c>
      <c r="E2915" s="64">
        <f t="shared" si="227"/>
        <v>539.4441583704471</v>
      </c>
      <c r="F2915" s="62" t="str">
        <f t="shared" si="228"/>
        <v/>
      </c>
    </row>
    <row r="2916" spans="1:6">
      <c r="A2916" s="60">
        <v>291100</v>
      </c>
      <c r="B2916" s="60">
        <f t="shared" si="226"/>
        <v>5395368</v>
      </c>
      <c r="C2916" s="60">
        <f t="shared" si="229"/>
        <v>5395368</v>
      </c>
      <c r="D2916" s="61">
        <f t="shared" si="225"/>
        <v>1</v>
      </c>
      <c r="E2916" s="64">
        <f t="shared" si="227"/>
        <v>539.53683840864846</v>
      </c>
      <c r="F2916" s="62" t="str">
        <f t="shared" si="228"/>
        <v/>
      </c>
    </row>
    <row r="2917" spans="1:6">
      <c r="A2917" s="60">
        <v>291200</v>
      </c>
      <c r="B2917" s="60">
        <f t="shared" si="226"/>
        <v>5396295</v>
      </c>
      <c r="C2917" s="60">
        <f t="shared" si="229"/>
        <v>5396295</v>
      </c>
      <c r="D2917" s="61">
        <f t="shared" si="225"/>
        <v>1</v>
      </c>
      <c r="E2917" s="64">
        <f t="shared" si="227"/>
        <v>539.62950252928169</v>
      </c>
      <c r="F2917" s="62" t="str">
        <f t="shared" si="228"/>
        <v/>
      </c>
    </row>
    <row r="2918" spans="1:6">
      <c r="A2918" s="60">
        <v>291300</v>
      </c>
      <c r="B2918" s="60">
        <f t="shared" si="226"/>
        <v>5397222</v>
      </c>
      <c r="C2918" s="60">
        <f t="shared" si="229"/>
        <v>5397222</v>
      </c>
      <c r="D2918" s="61">
        <f t="shared" si="225"/>
        <v>1</v>
      </c>
      <c r="E2918" s="64">
        <f t="shared" si="227"/>
        <v>539.72215074054543</v>
      </c>
      <c r="F2918" s="62" t="str">
        <f t="shared" si="228"/>
        <v/>
      </c>
    </row>
    <row r="2919" spans="1:6">
      <c r="A2919" s="60">
        <v>291400</v>
      </c>
      <c r="B2919" s="60">
        <f t="shared" si="226"/>
        <v>5398148</v>
      </c>
      <c r="C2919" s="60">
        <f t="shared" si="229"/>
        <v>5398148</v>
      </c>
      <c r="D2919" s="61">
        <f t="shared" si="225"/>
        <v>1</v>
      </c>
      <c r="E2919" s="64">
        <f t="shared" si="227"/>
        <v>539.81478305063115</v>
      </c>
      <c r="F2919" s="62" t="str">
        <f t="shared" si="228"/>
        <v/>
      </c>
    </row>
    <row r="2920" spans="1:6">
      <c r="A2920" s="60">
        <v>291500</v>
      </c>
      <c r="B2920" s="60">
        <f t="shared" si="226"/>
        <v>5399074</v>
      </c>
      <c r="C2920" s="60">
        <f t="shared" si="229"/>
        <v>5399074</v>
      </c>
      <c r="D2920" s="61">
        <f t="shared" si="225"/>
        <v>1</v>
      </c>
      <c r="E2920" s="64">
        <f t="shared" si="227"/>
        <v>539.90739946772351</v>
      </c>
      <c r="F2920" s="62" t="str">
        <f t="shared" si="228"/>
        <v/>
      </c>
    </row>
    <row r="2921" spans="1:6">
      <c r="A2921" s="60">
        <v>291600</v>
      </c>
      <c r="B2921" s="60">
        <f t="shared" si="226"/>
        <v>5400000</v>
      </c>
      <c r="C2921" s="60">
        <f t="shared" si="229"/>
        <v>5400000</v>
      </c>
      <c r="D2921" s="61">
        <f t="shared" si="225"/>
        <v>1</v>
      </c>
      <c r="E2921" s="64">
        <f t="shared" si="227"/>
        <v>540</v>
      </c>
      <c r="F2921" s="62" t="str">
        <f t="shared" si="228"/>
        <v/>
      </c>
    </row>
    <row r="2922" spans="1:6">
      <c r="A2922" s="60">
        <v>291700</v>
      </c>
      <c r="B2922" s="60">
        <f t="shared" si="226"/>
        <v>5400926</v>
      </c>
      <c r="C2922" s="60">
        <f t="shared" si="229"/>
        <v>5400926</v>
      </c>
      <c r="D2922" s="61">
        <f t="shared" si="225"/>
        <v>1</v>
      </c>
      <c r="E2922" s="64">
        <f t="shared" si="227"/>
        <v>540.09258465563107</v>
      </c>
      <c r="F2922" s="62" t="str">
        <f t="shared" si="228"/>
        <v/>
      </c>
    </row>
    <row r="2923" spans="1:6">
      <c r="A2923" s="60">
        <v>291800</v>
      </c>
      <c r="B2923" s="60">
        <f t="shared" si="226"/>
        <v>5401852</v>
      </c>
      <c r="C2923" s="60">
        <f t="shared" si="229"/>
        <v>5401852</v>
      </c>
      <c r="D2923" s="61">
        <f t="shared" si="225"/>
        <v>1</v>
      </c>
      <c r="E2923" s="64">
        <f t="shared" si="227"/>
        <v>540.18515344278023</v>
      </c>
      <c r="F2923" s="62" t="str">
        <f t="shared" si="228"/>
        <v/>
      </c>
    </row>
    <row r="2924" spans="1:6">
      <c r="A2924" s="60">
        <v>291900</v>
      </c>
      <c r="B2924" s="60">
        <f t="shared" si="226"/>
        <v>5402777</v>
      </c>
      <c r="C2924" s="60">
        <f t="shared" si="229"/>
        <v>5402777</v>
      </c>
      <c r="D2924" s="61">
        <f t="shared" si="225"/>
        <v>1</v>
      </c>
      <c r="E2924" s="64">
        <f t="shared" si="227"/>
        <v>540.27770636960395</v>
      </c>
      <c r="F2924" s="62" t="str">
        <f t="shared" si="228"/>
        <v/>
      </c>
    </row>
    <row r="2925" spans="1:6">
      <c r="A2925" s="60">
        <v>292000</v>
      </c>
      <c r="B2925" s="60">
        <f t="shared" si="226"/>
        <v>5403702</v>
      </c>
      <c r="C2925" s="60">
        <f t="shared" si="229"/>
        <v>5403702</v>
      </c>
      <c r="D2925" s="61">
        <f t="shared" si="225"/>
        <v>1</v>
      </c>
      <c r="E2925" s="64">
        <f t="shared" si="227"/>
        <v>540.37024344425186</v>
      </c>
      <c r="F2925" s="62" t="str">
        <f t="shared" si="228"/>
        <v/>
      </c>
    </row>
    <row r="2926" spans="1:6">
      <c r="A2926" s="60">
        <v>292100</v>
      </c>
      <c r="B2926" s="60">
        <f t="shared" si="226"/>
        <v>5404628</v>
      </c>
      <c r="C2926" s="60">
        <f t="shared" si="229"/>
        <v>5404628</v>
      </c>
      <c r="D2926" s="61">
        <f t="shared" si="225"/>
        <v>1</v>
      </c>
      <c r="E2926" s="64">
        <f t="shared" si="227"/>
        <v>540.46276467486643</v>
      </c>
      <c r="F2926" s="62" t="str">
        <f t="shared" si="228"/>
        <v/>
      </c>
    </row>
    <row r="2927" spans="1:6">
      <c r="A2927" s="60">
        <v>292200</v>
      </c>
      <c r="B2927" s="60">
        <f t="shared" si="226"/>
        <v>5405553</v>
      </c>
      <c r="C2927" s="60">
        <f t="shared" si="229"/>
        <v>5405553</v>
      </c>
      <c r="D2927" s="61">
        <f t="shared" si="225"/>
        <v>1</v>
      </c>
      <c r="E2927" s="64">
        <f t="shared" si="227"/>
        <v>540.55527006958312</v>
      </c>
      <c r="F2927" s="62" t="str">
        <f t="shared" si="228"/>
        <v/>
      </c>
    </row>
    <row r="2928" spans="1:6">
      <c r="A2928" s="60">
        <v>292300</v>
      </c>
      <c r="B2928" s="60">
        <f t="shared" si="226"/>
        <v>5406478</v>
      </c>
      <c r="C2928" s="60">
        <f t="shared" si="229"/>
        <v>5406478</v>
      </c>
      <c r="D2928" s="61">
        <f t="shared" si="225"/>
        <v>1</v>
      </c>
      <c r="E2928" s="64">
        <f t="shared" si="227"/>
        <v>540.64775963653085</v>
      </c>
      <c r="F2928" s="62" t="str">
        <f t="shared" si="228"/>
        <v/>
      </c>
    </row>
    <row r="2929" spans="1:6">
      <c r="A2929" s="60">
        <v>292400</v>
      </c>
      <c r="B2929" s="60">
        <f t="shared" si="226"/>
        <v>5407402</v>
      </c>
      <c r="C2929" s="60">
        <f t="shared" si="229"/>
        <v>5407402</v>
      </c>
      <c r="D2929" s="61">
        <f t="shared" si="225"/>
        <v>1</v>
      </c>
      <c r="E2929" s="64">
        <f t="shared" si="227"/>
        <v>540.74023338383097</v>
      </c>
      <c r="F2929" s="62" t="str">
        <f t="shared" si="228"/>
        <v/>
      </c>
    </row>
    <row r="2930" spans="1:6">
      <c r="A2930" s="60">
        <v>292500</v>
      </c>
      <c r="B2930" s="60">
        <f t="shared" si="226"/>
        <v>5408327</v>
      </c>
      <c r="C2930" s="60">
        <f t="shared" si="229"/>
        <v>5408327</v>
      </c>
      <c r="D2930" s="61">
        <f t="shared" si="225"/>
        <v>1</v>
      </c>
      <c r="E2930" s="64">
        <f t="shared" si="227"/>
        <v>540.83269131959844</v>
      </c>
      <c r="F2930" s="62" t="str">
        <f t="shared" si="228"/>
        <v/>
      </c>
    </row>
    <row r="2931" spans="1:6">
      <c r="A2931" s="60">
        <v>292600</v>
      </c>
      <c r="B2931" s="60">
        <f t="shared" si="226"/>
        <v>5409251</v>
      </c>
      <c r="C2931" s="60">
        <f t="shared" si="229"/>
        <v>5409251</v>
      </c>
      <c r="D2931" s="61">
        <f t="shared" si="225"/>
        <v>1</v>
      </c>
      <c r="E2931" s="64">
        <f t="shared" si="227"/>
        <v>540.92513345194084</v>
      </c>
      <c r="F2931" s="62" t="str">
        <f t="shared" si="228"/>
        <v/>
      </c>
    </row>
    <row r="2932" spans="1:6">
      <c r="A2932" s="60">
        <v>292700</v>
      </c>
      <c r="B2932" s="60">
        <f t="shared" si="226"/>
        <v>5410176</v>
      </c>
      <c r="C2932" s="60">
        <f t="shared" si="229"/>
        <v>5410176</v>
      </c>
      <c r="D2932" s="61">
        <f t="shared" si="225"/>
        <v>1</v>
      </c>
      <c r="E2932" s="64">
        <f t="shared" si="227"/>
        <v>541.01755978895915</v>
      </c>
      <c r="F2932" s="62" t="str">
        <f t="shared" si="228"/>
        <v/>
      </c>
    </row>
    <row r="2933" spans="1:6">
      <c r="A2933" s="60">
        <v>292800</v>
      </c>
      <c r="B2933" s="60">
        <f t="shared" si="226"/>
        <v>5411100</v>
      </c>
      <c r="C2933" s="60">
        <f t="shared" si="229"/>
        <v>5411100</v>
      </c>
      <c r="D2933" s="61">
        <f t="shared" si="225"/>
        <v>1</v>
      </c>
      <c r="E2933" s="64">
        <f t="shared" si="227"/>
        <v>541.1099703387473</v>
      </c>
      <c r="F2933" s="62" t="str">
        <f t="shared" si="228"/>
        <v/>
      </c>
    </row>
    <row r="2934" spans="1:6">
      <c r="A2934" s="60">
        <v>292900</v>
      </c>
      <c r="B2934" s="60">
        <f t="shared" si="226"/>
        <v>5412024</v>
      </c>
      <c r="C2934" s="60">
        <f t="shared" si="229"/>
        <v>5412024</v>
      </c>
      <c r="D2934" s="61">
        <f t="shared" si="225"/>
        <v>1</v>
      </c>
      <c r="E2934" s="64">
        <f t="shared" si="227"/>
        <v>541.2023651093923</v>
      </c>
      <c r="F2934" s="62" t="str">
        <f t="shared" si="228"/>
        <v/>
      </c>
    </row>
    <row r="2935" spans="1:6">
      <c r="A2935" s="60">
        <v>293000</v>
      </c>
      <c r="B2935" s="60">
        <f t="shared" si="226"/>
        <v>5412947</v>
      </c>
      <c r="C2935" s="60">
        <f t="shared" si="229"/>
        <v>5412947</v>
      </c>
      <c r="D2935" s="61">
        <f t="shared" si="225"/>
        <v>1</v>
      </c>
      <c r="E2935" s="64">
        <f t="shared" si="227"/>
        <v>541.29474410897433</v>
      </c>
      <c r="F2935" s="62" t="str">
        <f t="shared" si="228"/>
        <v/>
      </c>
    </row>
    <row r="2936" spans="1:6">
      <c r="A2936" s="60">
        <v>293100</v>
      </c>
      <c r="B2936" s="60">
        <f t="shared" si="226"/>
        <v>5413871</v>
      </c>
      <c r="C2936" s="60">
        <f t="shared" si="229"/>
        <v>5413871</v>
      </c>
      <c r="D2936" s="61">
        <f t="shared" si="225"/>
        <v>1</v>
      </c>
      <c r="E2936" s="64">
        <f t="shared" si="227"/>
        <v>541.38710734556651</v>
      </c>
      <c r="F2936" s="62" t="str">
        <f t="shared" si="228"/>
        <v/>
      </c>
    </row>
    <row r="2937" spans="1:6">
      <c r="A2937" s="60">
        <v>293200</v>
      </c>
      <c r="B2937" s="60">
        <f t="shared" si="226"/>
        <v>5414795</v>
      </c>
      <c r="C2937" s="60">
        <f t="shared" si="229"/>
        <v>5414795</v>
      </c>
      <c r="D2937" s="61">
        <f t="shared" si="225"/>
        <v>1</v>
      </c>
      <c r="E2937" s="64">
        <f t="shared" si="227"/>
        <v>541.47945482723537</v>
      </c>
      <c r="F2937" s="62" t="str">
        <f t="shared" si="228"/>
        <v/>
      </c>
    </row>
    <row r="2938" spans="1:6">
      <c r="A2938" s="60">
        <v>293300</v>
      </c>
      <c r="B2938" s="60">
        <f t="shared" si="226"/>
        <v>5415718</v>
      </c>
      <c r="C2938" s="60">
        <f t="shared" si="229"/>
        <v>5415718</v>
      </c>
      <c r="D2938" s="61">
        <f t="shared" si="225"/>
        <v>1</v>
      </c>
      <c r="E2938" s="64">
        <f t="shared" si="227"/>
        <v>541.57178656204019</v>
      </c>
      <c r="F2938" s="62" t="str">
        <f t="shared" si="228"/>
        <v/>
      </c>
    </row>
    <row r="2939" spans="1:6">
      <c r="A2939" s="60">
        <v>293400</v>
      </c>
      <c r="B2939" s="60">
        <f t="shared" si="226"/>
        <v>5416641</v>
      </c>
      <c r="C2939" s="60">
        <f t="shared" si="229"/>
        <v>5416641</v>
      </c>
      <c r="D2939" s="61">
        <f t="shared" si="225"/>
        <v>1</v>
      </c>
      <c r="E2939" s="64">
        <f t="shared" si="227"/>
        <v>541.66410255803362</v>
      </c>
      <c r="F2939" s="62" t="str">
        <f t="shared" si="228"/>
        <v/>
      </c>
    </row>
    <row r="2940" spans="1:6">
      <c r="A2940" s="60">
        <v>293500</v>
      </c>
      <c r="B2940" s="60">
        <f t="shared" si="226"/>
        <v>5417564</v>
      </c>
      <c r="C2940" s="60">
        <f t="shared" si="229"/>
        <v>5417564</v>
      </c>
      <c r="D2940" s="61">
        <f t="shared" si="225"/>
        <v>1</v>
      </c>
      <c r="E2940" s="64">
        <f t="shared" si="227"/>
        <v>541.75640282326151</v>
      </c>
      <c r="F2940" s="62" t="str">
        <f t="shared" si="228"/>
        <v/>
      </c>
    </row>
    <row r="2941" spans="1:6">
      <c r="A2941" s="60">
        <v>293600</v>
      </c>
      <c r="B2941" s="60">
        <f t="shared" si="226"/>
        <v>5418487</v>
      </c>
      <c r="C2941" s="60">
        <f t="shared" si="229"/>
        <v>5418487</v>
      </c>
      <c r="D2941" s="61">
        <f t="shared" si="225"/>
        <v>1</v>
      </c>
      <c r="E2941" s="64">
        <f t="shared" si="227"/>
        <v>541.84868736576266</v>
      </c>
      <c r="F2941" s="62" t="str">
        <f t="shared" si="228"/>
        <v/>
      </c>
    </row>
    <row r="2942" spans="1:6">
      <c r="A2942" s="60">
        <v>293700</v>
      </c>
      <c r="B2942" s="60">
        <f t="shared" si="226"/>
        <v>5419410</v>
      </c>
      <c r="C2942" s="60">
        <f t="shared" si="229"/>
        <v>5419410</v>
      </c>
      <c r="D2942" s="61">
        <f t="shared" si="225"/>
        <v>1</v>
      </c>
      <c r="E2942" s="64">
        <f t="shared" si="227"/>
        <v>541.94095619356915</v>
      </c>
      <c r="F2942" s="62" t="str">
        <f t="shared" si="228"/>
        <v/>
      </c>
    </row>
    <row r="2943" spans="1:6">
      <c r="A2943" s="60">
        <v>293800</v>
      </c>
      <c r="B2943" s="60">
        <f t="shared" si="226"/>
        <v>5420332</v>
      </c>
      <c r="C2943" s="60">
        <f t="shared" si="229"/>
        <v>5420332</v>
      </c>
      <c r="D2943" s="61">
        <f t="shared" si="225"/>
        <v>1</v>
      </c>
      <c r="E2943" s="64">
        <f t="shared" si="227"/>
        <v>542.03320931470614</v>
      </c>
      <c r="F2943" s="62" t="str">
        <f t="shared" si="228"/>
        <v/>
      </c>
    </row>
    <row r="2944" spans="1:6">
      <c r="A2944" s="60">
        <v>293900</v>
      </c>
      <c r="B2944" s="60">
        <f t="shared" si="226"/>
        <v>5421254</v>
      </c>
      <c r="C2944" s="60">
        <f t="shared" si="229"/>
        <v>5421254</v>
      </c>
      <c r="D2944" s="61">
        <f t="shared" si="225"/>
        <v>1</v>
      </c>
      <c r="E2944" s="64">
        <f t="shared" si="227"/>
        <v>542.12544673719196</v>
      </c>
      <c r="F2944" s="62" t="str">
        <f t="shared" si="228"/>
        <v/>
      </c>
    </row>
    <row r="2945" spans="1:6">
      <c r="A2945" s="60">
        <v>294000</v>
      </c>
      <c r="B2945" s="60">
        <f t="shared" si="226"/>
        <v>5422177</v>
      </c>
      <c r="C2945" s="60">
        <f t="shared" si="229"/>
        <v>5422177</v>
      </c>
      <c r="D2945" s="61">
        <f t="shared" si="225"/>
        <v>1</v>
      </c>
      <c r="E2945" s="64">
        <f t="shared" si="227"/>
        <v>542.21766846903836</v>
      </c>
      <c r="F2945" s="62" t="str">
        <f t="shared" si="228"/>
        <v/>
      </c>
    </row>
    <row r="2946" spans="1:6">
      <c r="A2946" s="60">
        <v>294100</v>
      </c>
      <c r="B2946" s="60">
        <f t="shared" si="226"/>
        <v>5423099</v>
      </c>
      <c r="C2946" s="60">
        <f t="shared" si="229"/>
        <v>5423099</v>
      </c>
      <c r="D2946" s="61">
        <f t="shared" si="225"/>
        <v>1</v>
      </c>
      <c r="E2946" s="64">
        <f t="shared" si="227"/>
        <v>542.3098745182499</v>
      </c>
      <c r="F2946" s="62" t="str">
        <f t="shared" si="228"/>
        <v/>
      </c>
    </row>
    <row r="2947" spans="1:6">
      <c r="A2947" s="60">
        <v>294200</v>
      </c>
      <c r="B2947" s="60">
        <f t="shared" si="226"/>
        <v>5424021</v>
      </c>
      <c r="C2947" s="60">
        <f t="shared" si="229"/>
        <v>5424021</v>
      </c>
      <c r="D2947" s="61">
        <f t="shared" si="225"/>
        <v>1</v>
      </c>
      <c r="E2947" s="64">
        <f t="shared" si="227"/>
        <v>542.40206489282468</v>
      </c>
      <c r="F2947" s="62" t="str">
        <f t="shared" si="228"/>
        <v/>
      </c>
    </row>
    <row r="2948" spans="1:6">
      <c r="A2948" s="60">
        <v>294300</v>
      </c>
      <c r="B2948" s="60">
        <f t="shared" si="226"/>
        <v>5424942</v>
      </c>
      <c r="C2948" s="60">
        <f t="shared" si="229"/>
        <v>5424942</v>
      </c>
      <c r="D2948" s="61">
        <f t="shared" si="225"/>
        <v>1</v>
      </c>
      <c r="E2948" s="64">
        <f t="shared" si="227"/>
        <v>542.49423960075376</v>
      </c>
      <c r="F2948" s="62" t="str">
        <f t="shared" si="228"/>
        <v/>
      </c>
    </row>
    <row r="2949" spans="1:6">
      <c r="A2949" s="60">
        <v>294400</v>
      </c>
      <c r="B2949" s="60">
        <f t="shared" si="226"/>
        <v>5425864</v>
      </c>
      <c r="C2949" s="60">
        <f t="shared" si="229"/>
        <v>5425864</v>
      </c>
      <c r="D2949" s="61">
        <f t="shared" ref="D2949:D3005" si="230">(A2949-INDEX(兵力区间,MATCH(A2949,兵力区间,1)))/(INDEX(兵力区间,MATCH(A2949,兵力区间,1)+1)-INDEX(兵力区间,MATCH(A2949,兵力区间,1)))*((INDEX(兵力调节,MATCH(A2949,兵力区间,1)+1,2)-INDEX(兵力调节,MATCH(A2949,兵力区间,1),2)))+INDEX(兵力调节,MATCH(A2949,兵力区间,1),2)</f>
        <v>1</v>
      </c>
      <c r="E2949" s="64">
        <f t="shared" si="227"/>
        <v>542.58639865002147</v>
      </c>
      <c r="F2949" s="62" t="str">
        <f t="shared" si="228"/>
        <v/>
      </c>
    </row>
    <row r="2950" spans="1:6">
      <c r="A2950" s="60">
        <v>294500</v>
      </c>
      <c r="B2950" s="60">
        <f t="shared" si="226"/>
        <v>5426785</v>
      </c>
      <c r="C2950" s="60">
        <f t="shared" si="229"/>
        <v>5426785</v>
      </c>
      <c r="D2950" s="61">
        <f t="shared" si="230"/>
        <v>1</v>
      </c>
      <c r="E2950" s="64">
        <f t="shared" si="227"/>
        <v>542.67854204860544</v>
      </c>
      <c r="F2950" s="62" t="str">
        <f t="shared" si="228"/>
        <v/>
      </c>
    </row>
    <row r="2951" spans="1:6">
      <c r="A2951" s="60">
        <v>294600</v>
      </c>
      <c r="B2951" s="60">
        <f t="shared" ref="B2951:B3005" si="231">ROUND(D2951*E2951*10000,0)</f>
        <v>5427707</v>
      </c>
      <c r="C2951" s="60">
        <f t="shared" si="229"/>
        <v>5427707</v>
      </c>
      <c r="D2951" s="61">
        <f t="shared" si="230"/>
        <v>1</v>
      </c>
      <c r="E2951" s="64">
        <f t="shared" ref="E2951:E3005" si="232">A2951^0.5</f>
        <v>542.77066980447648</v>
      </c>
      <c r="F2951" s="62" t="str">
        <f t="shared" si="228"/>
        <v/>
      </c>
    </row>
    <row r="2952" spans="1:6">
      <c r="A2952" s="60">
        <v>294700</v>
      </c>
      <c r="B2952" s="60">
        <f t="shared" si="231"/>
        <v>5428628</v>
      </c>
      <c r="C2952" s="60">
        <f t="shared" si="229"/>
        <v>5428628</v>
      </c>
      <c r="D2952" s="61">
        <f t="shared" si="230"/>
        <v>1</v>
      </c>
      <c r="E2952" s="64">
        <f t="shared" si="232"/>
        <v>542.8627819255986</v>
      </c>
      <c r="F2952" s="62" t="str">
        <f t="shared" ref="F2952:F3005" si="233">IF(B2952&lt;B2951,1,"")</f>
        <v/>
      </c>
    </row>
    <row r="2953" spans="1:6">
      <c r="A2953" s="60">
        <v>294800</v>
      </c>
      <c r="B2953" s="60">
        <f t="shared" si="231"/>
        <v>5429549</v>
      </c>
      <c r="C2953" s="60">
        <f t="shared" si="229"/>
        <v>5429549</v>
      </c>
      <c r="D2953" s="61">
        <f t="shared" si="230"/>
        <v>1</v>
      </c>
      <c r="E2953" s="64">
        <f t="shared" si="232"/>
        <v>542.95487841992906</v>
      </c>
      <c r="F2953" s="62" t="str">
        <f t="shared" si="233"/>
        <v/>
      </c>
    </row>
    <row r="2954" spans="1:6">
      <c r="A2954" s="60">
        <v>294900</v>
      </c>
      <c r="B2954" s="60">
        <f t="shared" si="231"/>
        <v>5430470</v>
      </c>
      <c r="C2954" s="60">
        <f t="shared" si="229"/>
        <v>5430470</v>
      </c>
      <c r="D2954" s="61">
        <f t="shared" si="230"/>
        <v>1</v>
      </c>
      <c r="E2954" s="64">
        <f t="shared" si="232"/>
        <v>543.04695929541856</v>
      </c>
      <c r="F2954" s="62" t="str">
        <f t="shared" si="233"/>
        <v/>
      </c>
    </row>
    <row r="2955" spans="1:6">
      <c r="A2955" s="60">
        <v>295000</v>
      </c>
      <c r="B2955" s="60">
        <f t="shared" si="231"/>
        <v>5431390</v>
      </c>
      <c r="C2955" s="60">
        <f t="shared" ref="C2955:C3005" si="234">ROUND(D2955*E2955*10000,0)</f>
        <v>5431390</v>
      </c>
      <c r="D2955" s="61">
        <f t="shared" si="230"/>
        <v>1</v>
      </c>
      <c r="E2955" s="64">
        <f t="shared" si="232"/>
        <v>543.13902456001074</v>
      </c>
      <c r="F2955" s="62" t="str">
        <f t="shared" si="233"/>
        <v/>
      </c>
    </row>
    <row r="2956" spans="1:6">
      <c r="A2956" s="60">
        <v>295100</v>
      </c>
      <c r="B2956" s="60">
        <f t="shared" si="231"/>
        <v>5432311</v>
      </c>
      <c r="C2956" s="60">
        <f t="shared" si="234"/>
        <v>5432311</v>
      </c>
      <c r="D2956" s="61">
        <f t="shared" si="230"/>
        <v>1</v>
      </c>
      <c r="E2956" s="64">
        <f t="shared" si="232"/>
        <v>543.23107422164276</v>
      </c>
      <c r="F2956" s="62" t="str">
        <f t="shared" si="233"/>
        <v/>
      </c>
    </row>
    <row r="2957" spans="1:6">
      <c r="A2957" s="60">
        <v>295200</v>
      </c>
      <c r="B2957" s="60">
        <f t="shared" si="231"/>
        <v>5433231</v>
      </c>
      <c r="C2957" s="60">
        <f t="shared" si="234"/>
        <v>5433231</v>
      </c>
      <c r="D2957" s="61">
        <f t="shared" si="230"/>
        <v>1</v>
      </c>
      <c r="E2957" s="64">
        <f t="shared" si="232"/>
        <v>543.32310828824495</v>
      </c>
      <c r="F2957" s="62" t="str">
        <f t="shared" si="233"/>
        <v/>
      </c>
    </row>
    <row r="2958" spans="1:6">
      <c r="A2958" s="60">
        <v>295300</v>
      </c>
      <c r="B2958" s="60">
        <f t="shared" si="231"/>
        <v>5434151</v>
      </c>
      <c r="C2958" s="60">
        <f t="shared" si="234"/>
        <v>5434151</v>
      </c>
      <c r="D2958" s="61">
        <f t="shared" si="230"/>
        <v>1</v>
      </c>
      <c r="E2958" s="64">
        <f t="shared" si="232"/>
        <v>543.41512676774096</v>
      </c>
      <c r="F2958" s="62" t="str">
        <f t="shared" si="233"/>
        <v/>
      </c>
    </row>
    <row r="2959" spans="1:6">
      <c r="A2959" s="60">
        <v>295400</v>
      </c>
      <c r="B2959" s="60">
        <f t="shared" si="231"/>
        <v>5435071</v>
      </c>
      <c r="C2959" s="60">
        <f t="shared" si="234"/>
        <v>5435071</v>
      </c>
      <c r="D2959" s="61">
        <f t="shared" si="230"/>
        <v>1</v>
      </c>
      <c r="E2959" s="64">
        <f t="shared" si="232"/>
        <v>543.5071296680477</v>
      </c>
      <c r="F2959" s="62" t="str">
        <f t="shared" si="233"/>
        <v/>
      </c>
    </row>
    <row r="2960" spans="1:6">
      <c r="A2960" s="60">
        <v>295500</v>
      </c>
      <c r="B2960" s="60">
        <f t="shared" si="231"/>
        <v>5435991</v>
      </c>
      <c r="C2960" s="60">
        <f t="shared" si="234"/>
        <v>5435991</v>
      </c>
      <c r="D2960" s="61">
        <f t="shared" si="230"/>
        <v>1</v>
      </c>
      <c r="E2960" s="64">
        <f t="shared" si="232"/>
        <v>543.59911699707538</v>
      </c>
      <c r="F2960" s="62" t="str">
        <f t="shared" si="233"/>
        <v/>
      </c>
    </row>
    <row r="2961" spans="1:6">
      <c r="A2961" s="60">
        <v>295600</v>
      </c>
      <c r="B2961" s="60">
        <f t="shared" si="231"/>
        <v>5436911</v>
      </c>
      <c r="C2961" s="60">
        <f t="shared" si="234"/>
        <v>5436911</v>
      </c>
      <c r="D2961" s="61">
        <f t="shared" si="230"/>
        <v>1</v>
      </c>
      <c r="E2961" s="64">
        <f t="shared" si="232"/>
        <v>543.69108876272742</v>
      </c>
      <c r="F2961" s="62" t="str">
        <f t="shared" si="233"/>
        <v/>
      </c>
    </row>
    <row r="2962" spans="1:6">
      <c r="A2962" s="60">
        <v>295700</v>
      </c>
      <c r="B2962" s="60">
        <f t="shared" si="231"/>
        <v>5437830</v>
      </c>
      <c r="C2962" s="60">
        <f t="shared" si="234"/>
        <v>5437830</v>
      </c>
      <c r="D2962" s="61">
        <f t="shared" si="230"/>
        <v>1</v>
      </c>
      <c r="E2962" s="64">
        <f t="shared" si="232"/>
        <v>543.78304497290094</v>
      </c>
      <c r="F2962" s="62" t="str">
        <f t="shared" si="233"/>
        <v/>
      </c>
    </row>
    <row r="2963" spans="1:6">
      <c r="A2963" s="60">
        <v>295800</v>
      </c>
      <c r="B2963" s="60">
        <f t="shared" si="231"/>
        <v>5438750</v>
      </c>
      <c r="C2963" s="60">
        <f t="shared" si="234"/>
        <v>5438750</v>
      </c>
      <c r="D2963" s="61">
        <f t="shared" si="230"/>
        <v>1</v>
      </c>
      <c r="E2963" s="64">
        <f t="shared" si="232"/>
        <v>543.87498563548593</v>
      </c>
      <c r="F2963" s="62" t="str">
        <f t="shared" si="233"/>
        <v/>
      </c>
    </row>
    <row r="2964" spans="1:6">
      <c r="A2964" s="60">
        <v>295900</v>
      </c>
      <c r="B2964" s="60">
        <f t="shared" si="231"/>
        <v>5439669</v>
      </c>
      <c r="C2964" s="60">
        <f t="shared" si="234"/>
        <v>5439669</v>
      </c>
      <c r="D2964" s="61">
        <f t="shared" si="230"/>
        <v>1</v>
      </c>
      <c r="E2964" s="64">
        <f t="shared" si="232"/>
        <v>543.96691075836588</v>
      </c>
      <c r="F2964" s="62" t="str">
        <f t="shared" si="233"/>
        <v/>
      </c>
    </row>
    <row r="2965" spans="1:6">
      <c r="A2965" s="60">
        <v>296000</v>
      </c>
      <c r="B2965" s="60">
        <f t="shared" si="231"/>
        <v>5440588</v>
      </c>
      <c r="C2965" s="60">
        <f t="shared" si="234"/>
        <v>5440588</v>
      </c>
      <c r="D2965" s="61">
        <f t="shared" si="230"/>
        <v>1</v>
      </c>
      <c r="E2965" s="64">
        <f t="shared" si="232"/>
        <v>544.05882034941772</v>
      </c>
      <c r="F2965" s="62" t="str">
        <f t="shared" si="233"/>
        <v/>
      </c>
    </row>
    <row r="2966" spans="1:6">
      <c r="A2966" s="60">
        <v>296100</v>
      </c>
      <c r="B2966" s="60">
        <f t="shared" si="231"/>
        <v>5441507</v>
      </c>
      <c r="C2966" s="60">
        <f t="shared" si="234"/>
        <v>5441507</v>
      </c>
      <c r="D2966" s="61">
        <f t="shared" si="230"/>
        <v>1</v>
      </c>
      <c r="E2966" s="64">
        <f t="shared" si="232"/>
        <v>544.15071441651162</v>
      </c>
      <c r="F2966" s="62" t="str">
        <f t="shared" si="233"/>
        <v/>
      </c>
    </row>
    <row r="2967" spans="1:6">
      <c r="A2967" s="60">
        <v>296200</v>
      </c>
      <c r="B2967" s="60">
        <f t="shared" si="231"/>
        <v>5442426</v>
      </c>
      <c r="C2967" s="60">
        <f t="shared" si="234"/>
        <v>5442426</v>
      </c>
      <c r="D2967" s="61">
        <f t="shared" si="230"/>
        <v>1</v>
      </c>
      <c r="E2967" s="64">
        <f t="shared" si="232"/>
        <v>544.24259296751109</v>
      </c>
      <c r="F2967" s="62" t="str">
        <f t="shared" si="233"/>
        <v/>
      </c>
    </row>
    <row r="2968" spans="1:6">
      <c r="A2968" s="60">
        <v>296300</v>
      </c>
      <c r="B2968" s="60">
        <f t="shared" si="231"/>
        <v>5443345</v>
      </c>
      <c r="C2968" s="60">
        <f t="shared" si="234"/>
        <v>5443345</v>
      </c>
      <c r="D2968" s="61">
        <f t="shared" si="230"/>
        <v>1</v>
      </c>
      <c r="E2968" s="64">
        <f t="shared" si="232"/>
        <v>544.33445601027313</v>
      </c>
      <c r="F2968" s="62" t="str">
        <f t="shared" si="233"/>
        <v/>
      </c>
    </row>
    <row r="2969" spans="1:6">
      <c r="A2969" s="60">
        <v>296400</v>
      </c>
      <c r="B2969" s="60">
        <f t="shared" si="231"/>
        <v>5444263</v>
      </c>
      <c r="C2969" s="60">
        <f t="shared" si="234"/>
        <v>5444263</v>
      </c>
      <c r="D2969" s="61">
        <f t="shared" si="230"/>
        <v>1</v>
      </c>
      <c r="E2969" s="64">
        <f t="shared" si="232"/>
        <v>544.42630355264794</v>
      </c>
      <c r="F2969" s="62" t="str">
        <f t="shared" si="233"/>
        <v/>
      </c>
    </row>
    <row r="2970" spans="1:6">
      <c r="A2970" s="60">
        <v>296500</v>
      </c>
      <c r="B2970" s="60">
        <f t="shared" si="231"/>
        <v>5445181</v>
      </c>
      <c r="C2970" s="60">
        <f t="shared" si="234"/>
        <v>5445181</v>
      </c>
      <c r="D2970" s="61">
        <f t="shared" si="230"/>
        <v>1</v>
      </c>
      <c r="E2970" s="64">
        <f t="shared" si="232"/>
        <v>544.51813560247922</v>
      </c>
      <c r="F2970" s="62" t="str">
        <f t="shared" si="233"/>
        <v/>
      </c>
    </row>
    <row r="2971" spans="1:6">
      <c r="A2971" s="60">
        <v>296600</v>
      </c>
      <c r="B2971" s="60">
        <f t="shared" si="231"/>
        <v>5446100</v>
      </c>
      <c r="C2971" s="60">
        <f t="shared" si="234"/>
        <v>5446100</v>
      </c>
      <c r="D2971" s="61">
        <f t="shared" si="230"/>
        <v>1</v>
      </c>
      <c r="E2971" s="64">
        <f t="shared" si="232"/>
        <v>544.60995216760409</v>
      </c>
      <c r="F2971" s="62" t="str">
        <f t="shared" si="233"/>
        <v/>
      </c>
    </row>
    <row r="2972" spans="1:6">
      <c r="A2972" s="60">
        <v>296700</v>
      </c>
      <c r="B2972" s="60">
        <f t="shared" si="231"/>
        <v>5447018</v>
      </c>
      <c r="C2972" s="60">
        <f t="shared" si="234"/>
        <v>5447018</v>
      </c>
      <c r="D2972" s="61">
        <f t="shared" si="230"/>
        <v>1</v>
      </c>
      <c r="E2972" s="64">
        <f t="shared" si="232"/>
        <v>544.70175325585285</v>
      </c>
      <c r="F2972" s="62" t="str">
        <f t="shared" si="233"/>
        <v/>
      </c>
    </row>
    <row r="2973" spans="1:6">
      <c r="A2973" s="60">
        <v>296800</v>
      </c>
      <c r="B2973" s="60">
        <f t="shared" si="231"/>
        <v>5447935</v>
      </c>
      <c r="C2973" s="60">
        <f t="shared" si="234"/>
        <v>5447935</v>
      </c>
      <c r="D2973" s="61">
        <f t="shared" si="230"/>
        <v>1</v>
      </c>
      <c r="E2973" s="64">
        <f t="shared" si="232"/>
        <v>544.79353887504942</v>
      </c>
      <c r="F2973" s="62" t="str">
        <f t="shared" si="233"/>
        <v/>
      </c>
    </row>
    <row r="2974" spans="1:6">
      <c r="A2974" s="60">
        <v>296900</v>
      </c>
      <c r="B2974" s="60">
        <f t="shared" si="231"/>
        <v>5448853</v>
      </c>
      <c r="C2974" s="60">
        <f t="shared" si="234"/>
        <v>5448853</v>
      </c>
      <c r="D2974" s="61">
        <f t="shared" si="230"/>
        <v>1</v>
      </c>
      <c r="E2974" s="64">
        <f t="shared" si="232"/>
        <v>544.88530903301114</v>
      </c>
      <c r="F2974" s="62" t="str">
        <f t="shared" si="233"/>
        <v/>
      </c>
    </row>
    <row r="2975" spans="1:6">
      <c r="A2975" s="60">
        <v>297000</v>
      </c>
      <c r="B2975" s="60">
        <f t="shared" si="231"/>
        <v>5449771</v>
      </c>
      <c r="C2975" s="60">
        <f t="shared" si="234"/>
        <v>5449771</v>
      </c>
      <c r="D2975" s="61">
        <f t="shared" si="230"/>
        <v>1</v>
      </c>
      <c r="E2975" s="64">
        <f t="shared" si="232"/>
        <v>544.97706373754852</v>
      </c>
      <c r="F2975" s="62" t="str">
        <f t="shared" si="233"/>
        <v/>
      </c>
    </row>
    <row r="2976" spans="1:6">
      <c r="A2976" s="60">
        <v>297100</v>
      </c>
      <c r="B2976" s="60">
        <f t="shared" si="231"/>
        <v>5450688</v>
      </c>
      <c r="C2976" s="60">
        <f t="shared" si="234"/>
        <v>5450688</v>
      </c>
      <c r="D2976" s="61">
        <f t="shared" si="230"/>
        <v>1</v>
      </c>
      <c r="E2976" s="64">
        <f t="shared" si="232"/>
        <v>545.06880299646571</v>
      </c>
      <c r="F2976" s="62" t="str">
        <f t="shared" si="233"/>
        <v/>
      </c>
    </row>
    <row r="2977" spans="1:6">
      <c r="A2977" s="60">
        <v>297200</v>
      </c>
      <c r="B2977" s="60">
        <f t="shared" si="231"/>
        <v>5451605</v>
      </c>
      <c r="C2977" s="60">
        <f t="shared" si="234"/>
        <v>5451605</v>
      </c>
      <c r="D2977" s="61">
        <f t="shared" si="230"/>
        <v>1</v>
      </c>
      <c r="E2977" s="64">
        <f t="shared" si="232"/>
        <v>545.16052681756037</v>
      </c>
      <c r="F2977" s="62" t="str">
        <f t="shared" si="233"/>
        <v/>
      </c>
    </row>
    <row r="2978" spans="1:6">
      <c r="A2978" s="60">
        <v>297300</v>
      </c>
      <c r="B2978" s="60">
        <f t="shared" si="231"/>
        <v>5452522</v>
      </c>
      <c r="C2978" s="60">
        <f t="shared" si="234"/>
        <v>5452522</v>
      </c>
      <c r="D2978" s="61">
        <f t="shared" si="230"/>
        <v>1</v>
      </c>
      <c r="E2978" s="64">
        <f t="shared" si="232"/>
        <v>545.25223520862346</v>
      </c>
      <c r="F2978" s="62" t="str">
        <f t="shared" si="233"/>
        <v/>
      </c>
    </row>
    <row r="2979" spans="1:6">
      <c r="A2979" s="60">
        <v>297400</v>
      </c>
      <c r="B2979" s="60">
        <f t="shared" si="231"/>
        <v>5453439</v>
      </c>
      <c r="C2979" s="60">
        <f t="shared" si="234"/>
        <v>5453439</v>
      </c>
      <c r="D2979" s="61">
        <f t="shared" si="230"/>
        <v>1</v>
      </c>
      <c r="E2979" s="64">
        <f t="shared" si="232"/>
        <v>545.34392817743924</v>
      </c>
      <c r="F2979" s="62" t="str">
        <f t="shared" si="233"/>
        <v/>
      </c>
    </row>
    <row r="2980" spans="1:6">
      <c r="A2980" s="60">
        <v>297500</v>
      </c>
      <c r="B2980" s="60">
        <f t="shared" si="231"/>
        <v>5454356</v>
      </c>
      <c r="C2980" s="60">
        <f t="shared" si="234"/>
        <v>5454356</v>
      </c>
      <c r="D2980" s="61">
        <f t="shared" si="230"/>
        <v>1</v>
      </c>
      <c r="E2980" s="64">
        <f t="shared" si="232"/>
        <v>545.4356057317857</v>
      </c>
      <c r="F2980" s="62" t="str">
        <f t="shared" si="233"/>
        <v/>
      </c>
    </row>
    <row r="2981" spans="1:6">
      <c r="A2981" s="60">
        <v>297600</v>
      </c>
      <c r="B2981" s="60">
        <f t="shared" si="231"/>
        <v>5455273</v>
      </c>
      <c r="C2981" s="60">
        <f t="shared" si="234"/>
        <v>5455273</v>
      </c>
      <c r="D2981" s="61">
        <f t="shared" si="230"/>
        <v>1</v>
      </c>
      <c r="E2981" s="64">
        <f t="shared" si="232"/>
        <v>545.52726787943425</v>
      </c>
      <c r="F2981" s="62" t="str">
        <f t="shared" si="233"/>
        <v/>
      </c>
    </row>
    <row r="2982" spans="1:6">
      <c r="A2982" s="60">
        <v>297700</v>
      </c>
      <c r="B2982" s="60">
        <f t="shared" si="231"/>
        <v>5456189</v>
      </c>
      <c r="C2982" s="60">
        <f t="shared" si="234"/>
        <v>5456189</v>
      </c>
      <c r="D2982" s="61">
        <f t="shared" si="230"/>
        <v>1</v>
      </c>
      <c r="E2982" s="64">
        <f t="shared" si="232"/>
        <v>545.61891462814958</v>
      </c>
      <c r="F2982" s="62" t="str">
        <f t="shared" si="233"/>
        <v/>
      </c>
    </row>
    <row r="2983" spans="1:6">
      <c r="A2983" s="60">
        <v>297800</v>
      </c>
      <c r="B2983" s="60">
        <f t="shared" si="231"/>
        <v>5457105</v>
      </c>
      <c r="C2983" s="60">
        <f t="shared" si="234"/>
        <v>5457105</v>
      </c>
      <c r="D2983" s="61">
        <f t="shared" si="230"/>
        <v>1</v>
      </c>
      <c r="E2983" s="64">
        <f t="shared" si="232"/>
        <v>545.71054598569015</v>
      </c>
      <c r="F2983" s="62" t="str">
        <f t="shared" si="233"/>
        <v/>
      </c>
    </row>
    <row r="2984" spans="1:6">
      <c r="A2984" s="60">
        <v>297900</v>
      </c>
      <c r="B2984" s="60">
        <f t="shared" si="231"/>
        <v>5458022</v>
      </c>
      <c r="C2984" s="60">
        <f t="shared" si="234"/>
        <v>5458022</v>
      </c>
      <c r="D2984" s="61">
        <f t="shared" si="230"/>
        <v>1</v>
      </c>
      <c r="E2984" s="64">
        <f t="shared" si="232"/>
        <v>545.80216195980756</v>
      </c>
      <c r="F2984" s="62" t="str">
        <f t="shared" si="233"/>
        <v/>
      </c>
    </row>
    <row r="2985" spans="1:6">
      <c r="A2985" s="60">
        <v>298000</v>
      </c>
      <c r="B2985" s="60">
        <f t="shared" si="231"/>
        <v>5458938</v>
      </c>
      <c r="C2985" s="60">
        <f t="shared" si="234"/>
        <v>5458938</v>
      </c>
      <c r="D2985" s="61">
        <f t="shared" si="230"/>
        <v>1</v>
      </c>
      <c r="E2985" s="64">
        <f t="shared" si="232"/>
        <v>545.8937625582472</v>
      </c>
      <c r="F2985" s="62" t="str">
        <f t="shared" si="233"/>
        <v/>
      </c>
    </row>
    <row r="2986" spans="1:6">
      <c r="A2986" s="60">
        <v>298100</v>
      </c>
      <c r="B2986" s="60">
        <f t="shared" si="231"/>
        <v>5459853</v>
      </c>
      <c r="C2986" s="60">
        <f t="shared" si="234"/>
        <v>5459853</v>
      </c>
      <c r="D2986" s="61">
        <f t="shared" si="230"/>
        <v>1</v>
      </c>
      <c r="E2986" s="64">
        <f t="shared" si="232"/>
        <v>545.98534778874784</v>
      </c>
      <c r="F2986" s="62" t="str">
        <f t="shared" si="233"/>
        <v/>
      </c>
    </row>
    <row r="2987" spans="1:6">
      <c r="A2987" s="60">
        <v>298200</v>
      </c>
      <c r="B2987" s="60">
        <f t="shared" si="231"/>
        <v>5460769</v>
      </c>
      <c r="C2987" s="60">
        <f t="shared" si="234"/>
        <v>5460769</v>
      </c>
      <c r="D2987" s="61">
        <f t="shared" si="230"/>
        <v>1</v>
      </c>
      <c r="E2987" s="64">
        <f t="shared" si="232"/>
        <v>546.0769176590419</v>
      </c>
      <c r="F2987" s="62" t="str">
        <f t="shared" si="233"/>
        <v/>
      </c>
    </row>
    <row r="2988" spans="1:6">
      <c r="A2988" s="60">
        <v>298300</v>
      </c>
      <c r="B2988" s="60">
        <f t="shared" si="231"/>
        <v>5461685</v>
      </c>
      <c r="C2988" s="60">
        <f t="shared" si="234"/>
        <v>5461685</v>
      </c>
      <c r="D2988" s="61">
        <f t="shared" si="230"/>
        <v>1</v>
      </c>
      <c r="E2988" s="64">
        <f t="shared" si="232"/>
        <v>546.16847217685495</v>
      </c>
      <c r="F2988" s="62" t="str">
        <f t="shared" si="233"/>
        <v/>
      </c>
    </row>
    <row r="2989" spans="1:6">
      <c r="A2989" s="60">
        <v>298400</v>
      </c>
      <c r="B2989" s="60">
        <f t="shared" si="231"/>
        <v>5462600</v>
      </c>
      <c r="C2989" s="60">
        <f t="shared" si="234"/>
        <v>5462600</v>
      </c>
      <c r="D2989" s="61">
        <f t="shared" si="230"/>
        <v>1</v>
      </c>
      <c r="E2989" s="64">
        <f t="shared" si="232"/>
        <v>546.26001134990656</v>
      </c>
      <c r="F2989" s="62" t="str">
        <f t="shared" si="233"/>
        <v/>
      </c>
    </row>
    <row r="2990" spans="1:6">
      <c r="A2990" s="60">
        <v>298500</v>
      </c>
      <c r="B2990" s="60">
        <f t="shared" si="231"/>
        <v>5463515</v>
      </c>
      <c r="C2990" s="60">
        <f t="shared" si="234"/>
        <v>5463515</v>
      </c>
      <c r="D2990" s="61">
        <f t="shared" si="230"/>
        <v>1</v>
      </c>
      <c r="E2990" s="64">
        <f t="shared" si="232"/>
        <v>546.35153518590937</v>
      </c>
      <c r="F2990" s="62" t="str">
        <f t="shared" si="233"/>
        <v/>
      </c>
    </row>
    <row r="2991" spans="1:6">
      <c r="A2991" s="60">
        <v>298600</v>
      </c>
      <c r="B2991" s="60">
        <f t="shared" si="231"/>
        <v>5464430</v>
      </c>
      <c r="C2991" s="60">
        <f t="shared" si="234"/>
        <v>5464430</v>
      </c>
      <c r="D2991" s="61">
        <f t="shared" si="230"/>
        <v>1</v>
      </c>
      <c r="E2991" s="64">
        <f t="shared" si="232"/>
        <v>546.44304369257009</v>
      </c>
      <c r="F2991" s="62" t="str">
        <f t="shared" si="233"/>
        <v/>
      </c>
    </row>
    <row r="2992" spans="1:6">
      <c r="A2992" s="60">
        <v>298700</v>
      </c>
      <c r="B2992" s="60">
        <f t="shared" si="231"/>
        <v>5465345</v>
      </c>
      <c r="C2992" s="60">
        <f t="shared" si="234"/>
        <v>5465345</v>
      </c>
      <c r="D2992" s="61">
        <f t="shared" si="230"/>
        <v>1</v>
      </c>
      <c r="E2992" s="64">
        <f t="shared" si="232"/>
        <v>546.53453687758838</v>
      </c>
      <c r="F2992" s="62" t="str">
        <f t="shared" si="233"/>
        <v/>
      </c>
    </row>
    <row r="2993" spans="1:6">
      <c r="A2993" s="60">
        <v>298800</v>
      </c>
      <c r="B2993" s="60">
        <f t="shared" si="231"/>
        <v>5466260</v>
      </c>
      <c r="C2993" s="60">
        <f t="shared" si="234"/>
        <v>5466260</v>
      </c>
      <c r="D2993" s="61">
        <f t="shared" si="230"/>
        <v>1</v>
      </c>
      <c r="E2993" s="64">
        <f t="shared" si="232"/>
        <v>546.62601474865789</v>
      </c>
      <c r="F2993" s="62" t="str">
        <f t="shared" si="233"/>
        <v/>
      </c>
    </row>
    <row r="2994" spans="1:6">
      <c r="A2994" s="60">
        <v>298900</v>
      </c>
      <c r="B2994" s="60">
        <f t="shared" si="231"/>
        <v>5467175</v>
      </c>
      <c r="C2994" s="60">
        <f t="shared" si="234"/>
        <v>5467175</v>
      </c>
      <c r="D2994" s="61">
        <f t="shared" si="230"/>
        <v>1</v>
      </c>
      <c r="E2994" s="64">
        <f t="shared" si="232"/>
        <v>546.71747731346579</v>
      </c>
      <c r="F2994" s="62" t="str">
        <f t="shared" si="233"/>
        <v/>
      </c>
    </row>
    <row r="2995" spans="1:6">
      <c r="A2995" s="60">
        <v>299000</v>
      </c>
      <c r="B2995" s="60">
        <f t="shared" si="231"/>
        <v>5468089</v>
      </c>
      <c r="C2995" s="60">
        <f t="shared" si="234"/>
        <v>5468089</v>
      </c>
      <c r="D2995" s="61">
        <f t="shared" si="230"/>
        <v>1</v>
      </c>
      <c r="E2995" s="64">
        <f t="shared" si="232"/>
        <v>546.80892457969264</v>
      </c>
      <c r="F2995" s="62" t="str">
        <f t="shared" si="233"/>
        <v/>
      </c>
    </row>
    <row r="2996" spans="1:6">
      <c r="A2996" s="60">
        <v>299100</v>
      </c>
      <c r="B2996" s="60">
        <f t="shared" si="231"/>
        <v>5469004</v>
      </c>
      <c r="C2996" s="60">
        <f t="shared" si="234"/>
        <v>5469004</v>
      </c>
      <c r="D2996" s="61">
        <f t="shared" si="230"/>
        <v>1</v>
      </c>
      <c r="E2996" s="64">
        <f t="shared" si="232"/>
        <v>546.90035655501265</v>
      </c>
      <c r="F2996" s="62" t="str">
        <f t="shared" si="233"/>
        <v/>
      </c>
    </row>
    <row r="2997" spans="1:6">
      <c r="A2997" s="60">
        <v>299200</v>
      </c>
      <c r="B2997" s="60">
        <f t="shared" si="231"/>
        <v>5469918</v>
      </c>
      <c r="C2997" s="60">
        <f t="shared" si="234"/>
        <v>5469918</v>
      </c>
      <c r="D2997" s="61">
        <f t="shared" si="230"/>
        <v>1</v>
      </c>
      <c r="E2997" s="64">
        <f t="shared" si="232"/>
        <v>546.99177324709376</v>
      </c>
      <c r="F2997" s="62" t="str">
        <f t="shared" si="233"/>
        <v/>
      </c>
    </row>
    <row r="2998" spans="1:6">
      <c r="A2998" s="60">
        <v>299300</v>
      </c>
      <c r="B2998" s="60">
        <f t="shared" si="231"/>
        <v>5470832</v>
      </c>
      <c r="C2998" s="60">
        <f t="shared" si="234"/>
        <v>5470832</v>
      </c>
      <c r="D2998" s="61">
        <f t="shared" si="230"/>
        <v>1</v>
      </c>
      <c r="E2998" s="64">
        <f t="shared" si="232"/>
        <v>547.08317466359722</v>
      </c>
      <c r="F2998" s="62" t="str">
        <f t="shared" si="233"/>
        <v/>
      </c>
    </row>
    <row r="2999" spans="1:6">
      <c r="A2999" s="60">
        <v>299400</v>
      </c>
      <c r="B2999" s="60">
        <f t="shared" si="231"/>
        <v>5471746</v>
      </c>
      <c r="C2999" s="60">
        <f t="shared" si="234"/>
        <v>5471746</v>
      </c>
      <c r="D2999" s="61">
        <f t="shared" si="230"/>
        <v>1</v>
      </c>
      <c r="E2999" s="64">
        <f t="shared" si="232"/>
        <v>547.17456081217813</v>
      </c>
      <c r="F2999" s="62" t="str">
        <f t="shared" si="233"/>
        <v/>
      </c>
    </row>
    <row r="3000" spans="1:6">
      <c r="A3000" s="60">
        <v>299500</v>
      </c>
      <c r="B3000" s="60">
        <f t="shared" si="231"/>
        <v>5472659</v>
      </c>
      <c r="C3000" s="60">
        <f t="shared" si="234"/>
        <v>5472659</v>
      </c>
      <c r="D3000" s="61">
        <f t="shared" si="230"/>
        <v>1</v>
      </c>
      <c r="E3000" s="64">
        <f t="shared" si="232"/>
        <v>547.26593170048511</v>
      </c>
      <c r="F3000" s="62" t="str">
        <f t="shared" si="233"/>
        <v/>
      </c>
    </row>
    <row r="3001" spans="1:6">
      <c r="A3001" s="60">
        <v>299600</v>
      </c>
      <c r="B3001" s="60">
        <f t="shared" si="231"/>
        <v>5473573</v>
      </c>
      <c r="C3001" s="60">
        <f t="shared" si="234"/>
        <v>5473573</v>
      </c>
      <c r="D3001" s="61">
        <f t="shared" si="230"/>
        <v>1</v>
      </c>
      <c r="E3001" s="64">
        <f t="shared" si="232"/>
        <v>547.35728733616031</v>
      </c>
      <c r="F3001" s="62" t="str">
        <f t="shared" si="233"/>
        <v/>
      </c>
    </row>
    <row r="3002" spans="1:6">
      <c r="A3002" s="60">
        <v>299700</v>
      </c>
      <c r="B3002" s="60">
        <f t="shared" si="231"/>
        <v>5474486</v>
      </c>
      <c r="C3002" s="60">
        <f t="shared" si="234"/>
        <v>5474486</v>
      </c>
      <c r="D3002" s="61">
        <f t="shared" si="230"/>
        <v>1</v>
      </c>
      <c r="E3002" s="64">
        <f t="shared" si="232"/>
        <v>547.44862772683973</v>
      </c>
      <c r="F3002" s="62" t="str">
        <f t="shared" si="233"/>
        <v/>
      </c>
    </row>
    <row r="3003" spans="1:6">
      <c r="A3003" s="60">
        <v>299800</v>
      </c>
      <c r="B3003" s="60">
        <f t="shared" si="231"/>
        <v>5475400</v>
      </c>
      <c r="C3003" s="60">
        <f t="shared" si="234"/>
        <v>5475400</v>
      </c>
      <c r="D3003" s="61">
        <f t="shared" si="230"/>
        <v>1</v>
      </c>
      <c r="E3003" s="64">
        <f t="shared" si="232"/>
        <v>547.5399528801529</v>
      </c>
      <c r="F3003" s="62" t="str">
        <f t="shared" si="233"/>
        <v/>
      </c>
    </row>
    <row r="3004" spans="1:6">
      <c r="A3004" s="60">
        <v>299900</v>
      </c>
      <c r="B3004" s="60">
        <f t="shared" si="231"/>
        <v>5476313</v>
      </c>
      <c r="C3004" s="60">
        <f t="shared" si="234"/>
        <v>5476313</v>
      </c>
      <c r="D3004" s="61">
        <f t="shared" si="230"/>
        <v>1</v>
      </c>
      <c r="E3004" s="64">
        <f t="shared" si="232"/>
        <v>547.63126280372273</v>
      </c>
      <c r="F3004" s="62" t="str">
        <f t="shared" si="233"/>
        <v/>
      </c>
    </row>
    <row r="3005" spans="1:6">
      <c r="A3005" s="60">
        <v>300000</v>
      </c>
      <c r="B3005" s="60">
        <f t="shared" si="231"/>
        <v>5477226</v>
      </c>
      <c r="C3005" s="60">
        <f t="shared" si="234"/>
        <v>5477226</v>
      </c>
      <c r="D3005" s="61">
        <f t="shared" si="230"/>
        <v>1</v>
      </c>
      <c r="E3005" s="64">
        <f t="shared" si="232"/>
        <v>547.72255750516615</v>
      </c>
      <c r="F3005" s="62" t="str">
        <f t="shared" si="233"/>
        <v/>
      </c>
    </row>
  </sheetData>
  <phoneticPr fontId="2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M65"/>
  <sheetViews>
    <sheetView workbookViewId="0">
      <selection activeCell="A26" sqref="A26:XFD26"/>
    </sheetView>
  </sheetViews>
  <sheetFormatPr defaultColWidth="8.875" defaultRowHeight="14.25"/>
  <cols>
    <col min="1" max="1" width="10" style="5" customWidth="1"/>
    <col min="2" max="2" width="18.375" style="5" customWidth="1"/>
    <col min="3" max="3" width="12.75" style="5" customWidth="1"/>
    <col min="4" max="16384" width="8.875" style="5"/>
  </cols>
  <sheetData>
    <row r="1" spans="1:13">
      <c r="A1" s="5" t="s">
        <v>12</v>
      </c>
      <c r="B1" s="5" t="s">
        <v>35</v>
      </c>
      <c r="C1" s="5" t="s">
        <v>36</v>
      </c>
      <c r="D1" s="5" t="s">
        <v>37</v>
      </c>
      <c r="G1" s="5" t="s">
        <v>38</v>
      </c>
      <c r="H1" s="5" t="s">
        <v>39</v>
      </c>
    </row>
    <row r="2" spans="1:13">
      <c r="A2" s="5">
        <v>100</v>
      </c>
      <c r="B2" s="5">
        <v>4</v>
      </c>
      <c r="C2" s="5">
        <v>10</v>
      </c>
      <c r="D2" s="25">
        <f>B2/C2</f>
        <v>0.4</v>
      </c>
      <c r="G2" s="5">
        <v>0</v>
      </c>
      <c r="H2" s="26">
        <f>40%*2</f>
        <v>0.8</v>
      </c>
    </row>
    <row r="3" spans="1:13">
      <c r="A3" s="5">
        <v>200</v>
      </c>
      <c r="B3" s="5">
        <v>8</v>
      </c>
      <c r="C3" s="5">
        <v>14.2126704035519</v>
      </c>
      <c r="D3" s="25">
        <f t="shared" ref="D3:D65" si="0">B3/C3</f>
        <v>0.56287803578423301</v>
      </c>
      <c r="G3" s="5">
        <v>100</v>
      </c>
      <c r="H3" s="26">
        <f>40%*2</f>
        <v>0.8</v>
      </c>
    </row>
    <row r="4" spans="1:13">
      <c r="A4" s="5">
        <v>300</v>
      </c>
      <c r="B4" s="5">
        <v>12</v>
      </c>
      <c r="C4" s="5">
        <v>17.464249196573</v>
      </c>
      <c r="D4" s="25">
        <f t="shared" si="0"/>
        <v>0.68711800117664201</v>
      </c>
      <c r="G4" s="5">
        <v>200</v>
      </c>
      <c r="H4" s="27">
        <f>1.5*56.6%</f>
        <v>0.84899999999999998</v>
      </c>
      <c r="J4" s="5" t="s">
        <v>40</v>
      </c>
      <c r="K4" s="5" t="s">
        <v>41</v>
      </c>
      <c r="L4" s="5" t="s">
        <v>39</v>
      </c>
      <c r="M4" s="5" t="s">
        <v>42</v>
      </c>
    </row>
    <row r="5" spans="1:13">
      <c r="A5" s="5">
        <v>400</v>
      </c>
      <c r="B5" s="5">
        <v>15.5</v>
      </c>
      <c r="C5" s="5">
        <v>20.049937655763401</v>
      </c>
      <c r="D5" s="25">
        <f t="shared" si="0"/>
        <v>0.77306973548341595</v>
      </c>
      <c r="G5" s="5">
        <v>300</v>
      </c>
      <c r="H5" s="26">
        <f>1.2*70%</f>
        <v>0.84</v>
      </c>
      <c r="J5" s="5">
        <v>0</v>
      </c>
      <c r="K5" s="28">
        <f t="shared" ref="K5:K11" si="1">J5^0.5</f>
        <v>0</v>
      </c>
      <c r="L5" s="5">
        <f t="shared" ref="L5:L11" si="2">(J5-INDEX(兵力区间,MATCH(J5,兵力区间,1)))/(INDEX(兵力区间,MATCH(J5,兵力区间,1)+1)-INDEX(兵力区间,MATCH(J5,兵力区间,1)))*((INDEX(兵力调节,MATCH(J5,兵力区间,1)+1,2)-INDEX(兵力调节,MATCH(J5,兵力区间,1),2)))+INDEX(兵力调节,MATCH(J5,兵力区间,1),2)</f>
        <v>0.8</v>
      </c>
      <c r="M5" s="5">
        <f t="shared" ref="M5:M11" si="3">K5*L5</f>
        <v>0</v>
      </c>
    </row>
    <row r="6" spans="1:13">
      <c r="A6" s="5">
        <v>484</v>
      </c>
      <c r="B6" s="5">
        <v>18.5</v>
      </c>
      <c r="C6" s="5">
        <v>22</v>
      </c>
      <c r="D6" s="25">
        <f t="shared" si="0"/>
        <v>0.84090909090909105</v>
      </c>
      <c r="G6" s="5">
        <v>500</v>
      </c>
      <c r="H6" s="27">
        <f>1.1*85%</f>
        <v>0.93500000000000005</v>
      </c>
      <c r="J6" s="5">
        <v>100</v>
      </c>
      <c r="K6" s="28">
        <f t="shared" si="1"/>
        <v>10</v>
      </c>
      <c r="L6" s="5">
        <f t="shared" si="2"/>
        <v>0.8</v>
      </c>
      <c r="M6" s="5">
        <f t="shared" si="3"/>
        <v>8</v>
      </c>
    </row>
    <row r="7" spans="1:13">
      <c r="A7" s="5">
        <v>497</v>
      </c>
      <c r="B7" s="5">
        <v>19</v>
      </c>
      <c r="C7" s="5">
        <v>22.293496809608001</v>
      </c>
      <c r="D7" s="25">
        <f t="shared" si="0"/>
        <v>0.85226647763088703</v>
      </c>
      <c r="G7" s="5">
        <v>800</v>
      </c>
      <c r="H7" s="26">
        <v>1</v>
      </c>
      <c r="J7" s="5">
        <v>120</v>
      </c>
      <c r="K7" s="28">
        <f t="shared" si="1"/>
        <v>10.954451150103299</v>
      </c>
      <c r="L7" s="5">
        <f t="shared" si="2"/>
        <v>0.80980000000000008</v>
      </c>
      <c r="M7" s="5">
        <f t="shared" si="3"/>
        <v>8.8709145413536525</v>
      </c>
    </row>
    <row r="8" spans="1:13">
      <c r="A8" s="5">
        <v>541</v>
      </c>
      <c r="B8" s="5">
        <v>20.5</v>
      </c>
      <c r="C8" s="5">
        <v>23.259406699225998</v>
      </c>
      <c r="D8" s="25">
        <f t="shared" si="0"/>
        <v>0.88136383980431299</v>
      </c>
      <c r="G8" s="5">
        <v>900</v>
      </c>
      <c r="H8" s="26">
        <v>1.02</v>
      </c>
      <c r="J8" s="5">
        <v>160</v>
      </c>
      <c r="K8" s="28">
        <f t="shared" si="1"/>
        <v>12.6491106406735</v>
      </c>
      <c r="L8" s="5">
        <f t="shared" si="2"/>
        <v>0.82940000000000003</v>
      </c>
      <c r="M8" s="5">
        <f t="shared" si="3"/>
        <v>10.491172365374602</v>
      </c>
    </row>
    <row r="9" spans="1:13">
      <c r="A9" s="5">
        <v>604</v>
      </c>
      <c r="B9" s="5">
        <v>22</v>
      </c>
      <c r="C9" s="5">
        <v>24.576411454889001</v>
      </c>
      <c r="D9" s="25">
        <f t="shared" si="0"/>
        <v>0.89516730464827499</v>
      </c>
      <c r="G9" s="5">
        <v>1000</v>
      </c>
      <c r="H9" s="26">
        <v>1.06</v>
      </c>
      <c r="J9" s="5">
        <v>200</v>
      </c>
      <c r="K9" s="28">
        <f t="shared" si="1"/>
        <v>14.142135623731001</v>
      </c>
      <c r="L9" s="5">
        <f t="shared" si="2"/>
        <v>0.84899999999999998</v>
      </c>
      <c r="M9" s="5">
        <f t="shared" si="3"/>
        <v>12.006673144547619</v>
      </c>
    </row>
    <row r="10" spans="1:13">
      <c r="A10" s="5">
        <v>869</v>
      </c>
      <c r="B10" s="5">
        <v>30</v>
      </c>
      <c r="C10" s="5">
        <v>29.478805945967402</v>
      </c>
      <c r="D10" s="25">
        <f t="shared" si="0"/>
        <v>1.0176802973291399</v>
      </c>
      <c r="G10" s="5">
        <v>1300</v>
      </c>
      <c r="H10" s="27">
        <v>1.135</v>
      </c>
      <c r="J10" s="5">
        <v>1727</v>
      </c>
      <c r="K10" s="28">
        <f t="shared" si="1"/>
        <v>41.557189510360303</v>
      </c>
      <c r="L10" s="5">
        <f t="shared" si="2"/>
        <v>1.1926999999999999</v>
      </c>
      <c r="M10" s="5">
        <f t="shared" si="3"/>
        <v>49.565259929006729</v>
      </c>
    </row>
    <row r="11" spans="1:13">
      <c r="A11" s="5">
        <v>917</v>
      </c>
      <c r="B11" s="5">
        <v>31</v>
      </c>
      <c r="C11" s="5">
        <v>30.282007859453401</v>
      </c>
      <c r="D11" s="25">
        <f t="shared" si="0"/>
        <v>1.0237101893599301</v>
      </c>
      <c r="G11" s="5">
        <v>1700</v>
      </c>
      <c r="H11" s="26">
        <v>1.19</v>
      </c>
      <c r="J11" s="5">
        <v>1281</v>
      </c>
      <c r="K11" s="28">
        <f t="shared" si="1"/>
        <v>35.791060336346597</v>
      </c>
      <c r="L11" s="5">
        <f t="shared" si="2"/>
        <v>1.13025</v>
      </c>
      <c r="M11" s="5">
        <f t="shared" si="3"/>
        <v>40.452845945155737</v>
      </c>
    </row>
    <row r="12" spans="1:13">
      <c r="A12" s="5">
        <v>1022</v>
      </c>
      <c r="B12" s="5">
        <v>34</v>
      </c>
      <c r="C12" s="5">
        <v>31.968734726291601</v>
      </c>
      <c r="D12" s="25">
        <f t="shared" si="0"/>
        <v>1.06353912005275</v>
      </c>
      <c r="G12" s="5">
        <v>2100</v>
      </c>
      <c r="H12" s="26">
        <v>1.23</v>
      </c>
    </row>
    <row r="13" spans="1:13">
      <c r="A13" s="5">
        <v>1049</v>
      </c>
      <c r="B13" s="5">
        <v>35</v>
      </c>
      <c r="C13" s="5">
        <v>32.388269481403299</v>
      </c>
      <c r="D13" s="25">
        <f t="shared" si="0"/>
        <v>1.0806381619152701</v>
      </c>
      <c r="G13" s="5">
        <v>2200</v>
      </c>
      <c r="H13" s="26">
        <v>1.24</v>
      </c>
      <c r="J13" s="5">
        <v>8980</v>
      </c>
      <c r="K13" s="28">
        <f t="shared" ref="K13:K18" si="4">J13^0.5</f>
        <v>94.762861923857102</v>
      </c>
      <c r="L13" s="5">
        <f t="shared" ref="L13:L18" si="5">(J13-INDEX(兵力区间,MATCH(J13,兵力区间,1)))/(INDEX(兵力区间,MATCH(J13,兵力区间,1)+1)-INDEX(兵力区间,MATCH(J13,兵力区间,1)))*((INDEX(兵力调节,MATCH(J13,兵力区间,1)+1,2)-INDEX(兵力调节,MATCH(J13,兵力区间,1),2)))+INDEX(兵力调节,MATCH(J13,兵力区间,1),2)</f>
        <v>1.1354315789473683</v>
      </c>
      <c r="M13" s="5">
        <f t="shared" ref="M13:M18" si="6">K13*L13</f>
        <v>107.59674593977653</v>
      </c>
    </row>
    <row r="14" spans="1:13">
      <c r="A14" s="5">
        <v>1281</v>
      </c>
      <c r="B14" s="5">
        <v>40.5</v>
      </c>
      <c r="C14" s="5">
        <v>35.791060336346597</v>
      </c>
      <c r="D14" s="25">
        <f t="shared" si="0"/>
        <v>1.1315674813598999</v>
      </c>
      <c r="G14" s="5">
        <v>3100</v>
      </c>
      <c r="H14" s="26">
        <v>1.26</v>
      </c>
      <c r="J14" s="5">
        <v>2900</v>
      </c>
      <c r="K14" s="28">
        <f t="shared" si="4"/>
        <v>53.851648071344997</v>
      </c>
      <c r="L14" s="5">
        <f t="shared" si="5"/>
        <v>1.2555555555555555</v>
      </c>
      <c r="M14" s="5">
        <f t="shared" si="6"/>
        <v>67.613735911799822</v>
      </c>
    </row>
    <row r="15" spans="1:13">
      <c r="A15" s="5">
        <v>1727</v>
      </c>
      <c r="B15" s="5">
        <v>49.5</v>
      </c>
      <c r="C15" s="5">
        <v>41.557189510360303</v>
      </c>
      <c r="D15" s="25">
        <f t="shared" si="0"/>
        <v>1.19112963564727</v>
      </c>
      <c r="G15" s="5">
        <v>3300</v>
      </c>
      <c r="H15" s="26">
        <v>1.27</v>
      </c>
      <c r="J15" s="5">
        <v>3500</v>
      </c>
      <c r="K15" s="28">
        <f t="shared" si="4"/>
        <v>59.160797830996202</v>
      </c>
      <c r="L15" s="5">
        <f t="shared" si="5"/>
        <v>1.2675000000000001</v>
      </c>
      <c r="M15" s="5">
        <f t="shared" si="6"/>
        <v>74.986311250787693</v>
      </c>
    </row>
    <row r="16" spans="1:13">
      <c r="A16" s="5">
        <v>1888</v>
      </c>
      <c r="B16" s="5">
        <v>50</v>
      </c>
      <c r="C16" s="5">
        <v>43.451121964800898</v>
      </c>
      <c r="D16" s="25">
        <f t="shared" si="0"/>
        <v>1.1507182723728999</v>
      </c>
      <c r="G16" s="5">
        <v>4900</v>
      </c>
      <c r="H16" s="26">
        <v>1.25</v>
      </c>
      <c r="J16" s="5">
        <v>9500</v>
      </c>
      <c r="K16" s="28">
        <f t="shared" si="4"/>
        <v>97.467943448089599</v>
      </c>
      <c r="L16" s="5">
        <f t="shared" si="5"/>
        <v>1.1173684210526316</v>
      </c>
      <c r="M16" s="5">
        <f t="shared" si="6"/>
        <v>108.90760207383906</v>
      </c>
    </row>
    <row r="17" spans="1:13">
      <c r="A17" s="5">
        <v>2105</v>
      </c>
      <c r="B17" s="5">
        <v>56.5</v>
      </c>
      <c r="C17" s="5">
        <v>45.880278987817803</v>
      </c>
      <c r="D17" s="25">
        <f t="shared" si="0"/>
        <v>1.23146592057563</v>
      </c>
      <c r="G17" s="5">
        <v>6400</v>
      </c>
      <c r="H17" s="26">
        <v>1.2</v>
      </c>
      <c r="J17" s="5">
        <v>9917</v>
      </c>
      <c r="K17" s="28">
        <f t="shared" si="4"/>
        <v>99.5841352826845</v>
      </c>
      <c r="L17" s="5">
        <f t="shared" si="5"/>
        <v>1.1028831578947369</v>
      </c>
      <c r="M17" s="5">
        <f t="shared" si="6"/>
        <v>109.82966559678377</v>
      </c>
    </row>
    <row r="18" spans="1:13">
      <c r="A18" s="5">
        <v>2219</v>
      </c>
      <c r="B18" s="5">
        <v>58.5</v>
      </c>
      <c r="C18" s="5">
        <v>47.106262853255501</v>
      </c>
      <c r="D18" s="25">
        <f t="shared" si="0"/>
        <v>1.24187308558605</v>
      </c>
      <c r="G18" s="5">
        <v>8100</v>
      </c>
      <c r="H18" s="27">
        <v>1.1659999999999999</v>
      </c>
      <c r="J18" s="5">
        <v>11000</v>
      </c>
      <c r="K18" s="28">
        <f t="shared" si="4"/>
        <v>104.880884817015</v>
      </c>
      <c r="L18" s="5">
        <f t="shared" si="5"/>
        <v>1.087</v>
      </c>
      <c r="M18" s="5">
        <f t="shared" si="6"/>
        <v>114.00552179609531</v>
      </c>
    </row>
    <row r="19" spans="1:13">
      <c r="A19" s="5">
        <v>3075</v>
      </c>
      <c r="B19" s="5">
        <v>70</v>
      </c>
      <c r="C19" s="5">
        <v>55.452682532047099</v>
      </c>
      <c r="D19" s="25">
        <f t="shared" si="0"/>
        <v>1.2623374885344101</v>
      </c>
      <c r="G19" s="5">
        <v>10000</v>
      </c>
      <c r="H19" s="26">
        <v>1.1000000000000001</v>
      </c>
    </row>
    <row r="20" spans="1:13">
      <c r="A20" s="5">
        <v>3346</v>
      </c>
      <c r="B20" s="5">
        <v>73.5</v>
      </c>
      <c r="C20" s="5">
        <v>57.844619455918298</v>
      </c>
      <c r="D20" s="25">
        <f t="shared" si="0"/>
        <v>1.27064540645846</v>
      </c>
      <c r="G20" s="5">
        <v>11000</v>
      </c>
      <c r="H20" s="27">
        <v>1.087</v>
      </c>
    </row>
    <row r="21" spans="1:13">
      <c r="A21" s="5">
        <v>3800</v>
      </c>
      <c r="B21" s="5">
        <v>78</v>
      </c>
      <c r="C21" s="5">
        <v>61.644140029689801</v>
      </c>
      <c r="D21" s="25">
        <f t="shared" si="0"/>
        <v>1.26532708481995</v>
      </c>
      <c r="G21" s="5">
        <v>20000</v>
      </c>
      <c r="H21" s="26">
        <v>1</v>
      </c>
    </row>
    <row r="22" spans="1:13">
      <c r="A22" s="5">
        <v>4360</v>
      </c>
      <c r="B22" s="5">
        <v>83</v>
      </c>
      <c r="C22" s="5">
        <v>66.030296076876695</v>
      </c>
      <c r="D22" s="25">
        <f t="shared" si="0"/>
        <v>1.25699875559192</v>
      </c>
      <c r="G22" s="5">
        <v>300050</v>
      </c>
      <c r="H22" s="26">
        <v>1</v>
      </c>
    </row>
    <row r="23" spans="1:13">
      <c r="A23" s="5">
        <v>4600</v>
      </c>
      <c r="B23" s="5">
        <v>85</v>
      </c>
      <c r="C23" s="5">
        <v>67.823299831252697</v>
      </c>
      <c r="D23" s="25">
        <f t="shared" si="0"/>
        <v>1.2532566273166299</v>
      </c>
      <c r="G23" s="5">
        <v>310000</v>
      </c>
      <c r="H23" s="26">
        <v>1</v>
      </c>
    </row>
    <row r="24" spans="1:13">
      <c r="A24" s="5">
        <v>4700</v>
      </c>
      <c r="B24" s="5">
        <v>85.5</v>
      </c>
      <c r="C24" s="5">
        <v>68.5565460040104</v>
      </c>
      <c r="D24" s="25">
        <f t="shared" si="0"/>
        <v>1.247145677307</v>
      </c>
      <c r="H24" s="26"/>
    </row>
    <row r="25" spans="1:13">
      <c r="A25" s="5">
        <v>4894</v>
      </c>
      <c r="B25" s="5">
        <v>87.5</v>
      </c>
      <c r="C25" s="5">
        <v>69.957129729570795</v>
      </c>
      <c r="D25" s="25">
        <f t="shared" si="0"/>
        <v>1.2507660096725499</v>
      </c>
    </row>
    <row r="26" spans="1:13">
      <c r="A26" s="5">
        <v>5303</v>
      </c>
      <c r="B26" s="5">
        <v>90.5</v>
      </c>
      <c r="C26" s="5">
        <v>72.821700062549994</v>
      </c>
      <c r="D26" s="25">
        <f t="shared" si="0"/>
        <v>1.24276142856134</v>
      </c>
    </row>
    <row r="27" spans="1:13">
      <c r="A27" s="5">
        <v>5405</v>
      </c>
      <c r="B27" s="5">
        <v>90.5</v>
      </c>
      <c r="C27" s="5">
        <v>73.5187051028512</v>
      </c>
      <c r="D27" s="25">
        <f t="shared" si="0"/>
        <v>1.23097924362776</v>
      </c>
    </row>
    <row r="28" spans="1:13">
      <c r="A28" s="5">
        <v>5405</v>
      </c>
      <c r="B28" s="5">
        <v>90.5</v>
      </c>
      <c r="C28" s="5">
        <v>73.5187051028512</v>
      </c>
      <c r="D28" s="25">
        <f t="shared" si="0"/>
        <v>1.23097924362776</v>
      </c>
    </row>
    <row r="29" spans="1:13">
      <c r="A29" s="5">
        <v>5461</v>
      </c>
      <c r="B29" s="5">
        <v>91</v>
      </c>
      <c r="C29" s="5">
        <v>73.898579147369304</v>
      </c>
      <c r="D29" s="25">
        <f t="shared" si="0"/>
        <v>1.2314174514577201</v>
      </c>
    </row>
    <row r="30" spans="1:13">
      <c r="A30" s="5">
        <v>5461</v>
      </c>
      <c r="B30" s="5">
        <v>91</v>
      </c>
      <c r="C30" s="5">
        <v>73.898579147369304</v>
      </c>
      <c r="D30" s="25">
        <f t="shared" si="0"/>
        <v>1.2314174514577201</v>
      </c>
    </row>
    <row r="31" spans="1:13">
      <c r="A31" s="5">
        <v>6000</v>
      </c>
      <c r="B31" s="5">
        <v>94.5</v>
      </c>
      <c r="C31" s="5">
        <v>77.459666924148294</v>
      </c>
      <c r="D31" s="25">
        <f t="shared" si="0"/>
        <v>1.2199897540553399</v>
      </c>
    </row>
    <row r="32" spans="1:13">
      <c r="A32" s="5">
        <v>6000</v>
      </c>
      <c r="B32" s="5">
        <v>94.5</v>
      </c>
      <c r="C32" s="5">
        <v>77.459666924148294</v>
      </c>
      <c r="D32" s="25">
        <f t="shared" si="0"/>
        <v>1.2199897540553399</v>
      </c>
    </row>
    <row r="33" spans="1:4">
      <c r="A33" s="5">
        <v>6214</v>
      </c>
      <c r="B33" s="5">
        <v>96</v>
      </c>
      <c r="C33" s="5">
        <v>78.828928700065404</v>
      </c>
      <c r="D33" s="25">
        <f t="shared" si="0"/>
        <v>1.2178270285172601</v>
      </c>
    </row>
    <row r="34" spans="1:4">
      <c r="A34" s="5">
        <v>6216</v>
      </c>
      <c r="B34" s="5">
        <v>96</v>
      </c>
      <c r="C34" s="5">
        <v>78.8416133777081</v>
      </c>
      <c r="D34" s="25">
        <f t="shared" si="0"/>
        <v>1.2176310946364199</v>
      </c>
    </row>
    <row r="35" spans="1:4">
      <c r="A35" s="5">
        <v>6447</v>
      </c>
      <c r="B35" s="5">
        <v>97</v>
      </c>
      <c r="C35" s="5">
        <v>80.293212664583294</v>
      </c>
      <c r="D35" s="25">
        <f t="shared" si="0"/>
        <v>1.2080722240522099</v>
      </c>
    </row>
    <row r="36" spans="1:4">
      <c r="A36" s="5">
        <v>6447</v>
      </c>
      <c r="B36" s="5">
        <v>97</v>
      </c>
      <c r="C36" s="5">
        <v>80.293212664583294</v>
      </c>
      <c r="D36" s="25">
        <f t="shared" si="0"/>
        <v>1.2080722240522099</v>
      </c>
    </row>
    <row r="37" spans="1:4">
      <c r="A37" s="5">
        <v>6500</v>
      </c>
      <c r="B37" s="5">
        <v>97</v>
      </c>
      <c r="C37" s="5">
        <v>80.622577482985506</v>
      </c>
      <c r="D37" s="25">
        <f t="shared" si="0"/>
        <v>1.2031369255153199</v>
      </c>
    </row>
    <row r="38" spans="1:4">
      <c r="A38" s="5">
        <v>6500</v>
      </c>
      <c r="B38" s="5">
        <v>97</v>
      </c>
      <c r="C38" s="5">
        <v>80.622577482985506</v>
      </c>
      <c r="D38" s="25">
        <f t="shared" si="0"/>
        <v>1.2031369255153199</v>
      </c>
    </row>
    <row r="39" spans="1:4">
      <c r="A39" s="5">
        <v>6627</v>
      </c>
      <c r="B39" s="5">
        <v>98</v>
      </c>
      <c r="C39" s="5">
        <v>81.406387955737202</v>
      </c>
      <c r="D39" s="25">
        <f t="shared" si="0"/>
        <v>1.20383673150177</v>
      </c>
    </row>
    <row r="40" spans="1:4">
      <c r="A40" s="5">
        <v>6627</v>
      </c>
      <c r="B40" s="5">
        <v>98</v>
      </c>
      <c r="C40" s="5">
        <v>81.406387955737202</v>
      </c>
      <c r="D40" s="25">
        <f t="shared" si="0"/>
        <v>1.20383673150177</v>
      </c>
    </row>
    <row r="41" spans="1:4">
      <c r="A41" s="5">
        <v>6976</v>
      </c>
      <c r="B41" s="5">
        <v>100</v>
      </c>
      <c r="C41" s="5">
        <v>83.522452071284405</v>
      </c>
      <c r="D41" s="25">
        <f t="shared" si="0"/>
        <v>1.19728285652644</v>
      </c>
    </row>
    <row r="42" spans="1:4">
      <c r="A42" s="5">
        <v>7066</v>
      </c>
      <c r="B42" s="5">
        <v>100.5</v>
      </c>
      <c r="C42" s="5">
        <v>84.059502734670005</v>
      </c>
      <c r="D42" s="25">
        <f t="shared" si="0"/>
        <v>1.1955816621616699</v>
      </c>
    </row>
    <row r="43" spans="1:4">
      <c r="A43" s="5">
        <v>7523</v>
      </c>
      <c r="B43" s="5">
        <v>102.5</v>
      </c>
      <c r="C43" s="5">
        <v>86.735229290064098</v>
      </c>
      <c r="D43" s="25">
        <f t="shared" si="0"/>
        <v>1.1817574109041</v>
      </c>
    </row>
    <row r="44" spans="1:4">
      <c r="A44" s="5">
        <v>7857</v>
      </c>
      <c r="B44" s="5">
        <v>104</v>
      </c>
      <c r="C44" s="5">
        <v>88.639720216164903</v>
      </c>
      <c r="D44" s="25">
        <f t="shared" si="0"/>
        <v>1.1732889019321799</v>
      </c>
    </row>
    <row r="45" spans="1:4">
      <c r="A45" s="5">
        <v>7886</v>
      </c>
      <c r="B45" s="5">
        <v>104</v>
      </c>
      <c r="C45" s="5">
        <v>88.803153097173293</v>
      </c>
      <c r="D45" s="25">
        <f t="shared" si="0"/>
        <v>1.1711295868762399</v>
      </c>
    </row>
    <row r="46" spans="1:4">
      <c r="A46" s="5">
        <v>8108</v>
      </c>
      <c r="B46" s="5">
        <v>105</v>
      </c>
      <c r="C46" s="5">
        <v>90.044433475923398</v>
      </c>
      <c r="D46" s="25">
        <f t="shared" si="0"/>
        <v>1.16609096139269</v>
      </c>
    </row>
    <row r="47" spans="1:4">
      <c r="A47" s="5">
        <v>8965</v>
      </c>
      <c r="B47" s="5">
        <v>108</v>
      </c>
      <c r="C47" s="5">
        <v>94.683683916501707</v>
      </c>
      <c r="D47" s="25">
        <f t="shared" si="0"/>
        <v>1.14064002933432</v>
      </c>
    </row>
    <row r="48" spans="1:4">
      <c r="A48" s="5">
        <v>8980</v>
      </c>
      <c r="B48" s="5">
        <v>108</v>
      </c>
      <c r="C48" s="5">
        <v>94.762861923857102</v>
      </c>
      <c r="D48" s="25">
        <f t="shared" si="0"/>
        <v>1.13968698082144</v>
      </c>
    </row>
    <row r="49" spans="1:4">
      <c r="A49" s="5">
        <v>8982</v>
      </c>
      <c r="B49" s="5">
        <v>108</v>
      </c>
      <c r="C49" s="5">
        <v>94.773413993587894</v>
      </c>
      <c r="D49" s="25">
        <f t="shared" si="0"/>
        <v>1.13956008809925</v>
      </c>
    </row>
    <row r="50" spans="1:4">
      <c r="A50" s="5">
        <v>9279</v>
      </c>
      <c r="B50" s="5">
        <v>109</v>
      </c>
      <c r="C50" s="5">
        <v>96.327566148013901</v>
      </c>
      <c r="D50" s="25">
        <f t="shared" si="0"/>
        <v>1.1315556320868101</v>
      </c>
    </row>
    <row r="51" spans="1:4">
      <c r="A51" s="5">
        <v>9325</v>
      </c>
      <c r="B51" s="5">
        <v>109</v>
      </c>
      <c r="C51" s="5">
        <v>96.566039579139797</v>
      </c>
      <c r="D51" s="25">
        <f t="shared" si="0"/>
        <v>1.12876121331113</v>
      </c>
    </row>
    <row r="52" spans="1:4">
      <c r="A52" s="5">
        <v>9510</v>
      </c>
      <c r="B52" s="5">
        <v>110</v>
      </c>
      <c r="C52" s="5">
        <v>97.5192288730792</v>
      </c>
      <c r="D52" s="25">
        <f t="shared" si="0"/>
        <v>1.12798266835318</v>
      </c>
    </row>
    <row r="53" spans="1:4">
      <c r="A53" s="5">
        <v>9586</v>
      </c>
      <c r="B53" s="5">
        <v>110</v>
      </c>
      <c r="C53" s="5">
        <v>97.908120194394499</v>
      </c>
      <c r="D53" s="25">
        <f t="shared" si="0"/>
        <v>1.1235023181080099</v>
      </c>
    </row>
    <row r="54" spans="1:4">
      <c r="A54" s="5">
        <v>9900</v>
      </c>
      <c r="B54" s="5">
        <v>111</v>
      </c>
      <c r="C54" s="5">
        <v>99.498743710661998</v>
      </c>
      <c r="D54" s="25">
        <f t="shared" si="0"/>
        <v>1.1155919749377301</v>
      </c>
    </row>
    <row r="55" spans="1:4">
      <c r="A55" s="5">
        <v>10100</v>
      </c>
      <c r="B55" s="5">
        <v>111.5</v>
      </c>
      <c r="C55" s="5">
        <v>100.498756211209</v>
      </c>
      <c r="D55" s="25">
        <f t="shared" si="0"/>
        <v>1.1094664670841368</v>
      </c>
    </row>
    <row r="56" spans="1:4">
      <c r="A56" s="5">
        <v>10117</v>
      </c>
      <c r="B56" s="5">
        <v>111.5</v>
      </c>
      <c r="C56" s="5">
        <v>100.583298812477</v>
      </c>
      <c r="D56" s="25">
        <f t="shared" si="0"/>
        <v>1.1085339347228571</v>
      </c>
    </row>
    <row r="57" spans="1:4">
      <c r="A57" s="5">
        <v>10161</v>
      </c>
      <c r="B57" s="5">
        <v>111.5</v>
      </c>
      <c r="C57" s="5">
        <v>100.801785698469</v>
      </c>
      <c r="D57" s="25">
        <f t="shared" si="0"/>
        <v>1.1061311982461586</v>
      </c>
    </row>
    <row r="58" spans="1:4">
      <c r="A58" s="5">
        <v>10217</v>
      </c>
      <c r="B58" s="5">
        <v>112</v>
      </c>
      <c r="C58" s="5">
        <v>101.079176886241</v>
      </c>
      <c r="D58" s="25">
        <f t="shared" si="0"/>
        <v>1.1080422639971612</v>
      </c>
    </row>
    <row r="59" spans="1:4">
      <c r="A59" s="5">
        <v>10324</v>
      </c>
      <c r="B59" s="5">
        <v>112</v>
      </c>
      <c r="C59" s="5">
        <v>101.607086367044</v>
      </c>
      <c r="D59" s="25">
        <f t="shared" si="0"/>
        <v>1.102285322850542</v>
      </c>
    </row>
    <row r="60" spans="1:4">
      <c r="A60" s="5">
        <v>10396</v>
      </c>
      <c r="B60" s="5">
        <v>112.5</v>
      </c>
      <c r="C60" s="5">
        <v>101.960776772247</v>
      </c>
      <c r="D60" s="25">
        <f t="shared" si="0"/>
        <v>1.1033654662252603</v>
      </c>
    </row>
    <row r="61" spans="1:4">
      <c r="A61" s="5">
        <v>10602</v>
      </c>
      <c r="B61" s="5">
        <v>113</v>
      </c>
      <c r="C61" s="5">
        <v>102.966013810383</v>
      </c>
      <c r="D61" s="25">
        <f t="shared" si="0"/>
        <v>1.0974494963755232</v>
      </c>
    </row>
    <row r="62" spans="1:4">
      <c r="A62" s="5">
        <v>10615</v>
      </c>
      <c r="B62" s="5">
        <v>113</v>
      </c>
      <c r="C62" s="5">
        <v>103.02912209661901</v>
      </c>
      <c r="D62" s="25">
        <f t="shared" si="0"/>
        <v>1.0967772771472368</v>
      </c>
    </row>
    <row r="63" spans="1:4">
      <c r="A63" s="5">
        <v>10648</v>
      </c>
      <c r="B63" s="5">
        <v>113</v>
      </c>
      <c r="C63" s="5">
        <v>103.189146716115</v>
      </c>
      <c r="D63" s="25">
        <f t="shared" si="0"/>
        <v>1.0950764067356402</v>
      </c>
    </row>
    <row r="64" spans="1:4">
      <c r="A64" s="5">
        <v>10735</v>
      </c>
      <c r="B64" s="5">
        <v>113</v>
      </c>
      <c r="C64" s="5">
        <v>103.609845092057</v>
      </c>
      <c r="D64" s="25">
        <f t="shared" si="0"/>
        <v>1.0906299483374373</v>
      </c>
    </row>
    <row r="65" spans="1:4">
      <c r="A65" s="5">
        <v>11000</v>
      </c>
      <c r="B65" s="5">
        <v>114</v>
      </c>
      <c r="C65" s="5">
        <v>104.880884817015</v>
      </c>
      <c r="D65" s="25">
        <f t="shared" si="0"/>
        <v>1.0869473517399768</v>
      </c>
    </row>
  </sheetData>
  <autoFilter ref="A1:D65" xr:uid="{00000000-0009-0000-0000-000002000000}"/>
  <phoneticPr fontId="21" type="noConversion"/>
  <conditionalFormatting sqref="D1:D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B164"/>
  <sheetViews>
    <sheetView topLeftCell="A42" workbookViewId="0">
      <selection activeCell="J51" sqref="J51"/>
    </sheetView>
  </sheetViews>
  <sheetFormatPr defaultColWidth="9" defaultRowHeight="14.25"/>
  <cols>
    <col min="1" max="1" width="6.5" customWidth="1"/>
    <col min="2" max="2" width="15.5" customWidth="1"/>
  </cols>
  <sheetData>
    <row r="1" spans="1:2" ht="18">
      <c r="A1" s="24" t="s">
        <v>43</v>
      </c>
      <c r="B1" s="24" t="s">
        <v>44</v>
      </c>
    </row>
    <row r="2" spans="1:2">
      <c r="A2">
        <v>41001</v>
      </c>
      <c r="B2" t="s">
        <v>45</v>
      </c>
    </row>
    <row r="3" spans="1:2">
      <c r="A3">
        <v>41002</v>
      </c>
      <c r="B3" t="s">
        <v>46</v>
      </c>
    </row>
    <row r="4" spans="1:2">
      <c r="A4">
        <v>41003</v>
      </c>
      <c r="B4" t="s">
        <v>47</v>
      </c>
    </row>
    <row r="5" spans="1:2">
      <c r="A5">
        <v>41004</v>
      </c>
      <c r="B5" t="s">
        <v>48</v>
      </c>
    </row>
    <row r="6" spans="1:2">
      <c r="A6">
        <v>41005</v>
      </c>
      <c r="B6" t="s">
        <v>49</v>
      </c>
    </row>
    <row r="7" spans="1:2">
      <c r="A7">
        <v>41006</v>
      </c>
      <c r="B7" t="s">
        <v>50</v>
      </c>
    </row>
    <row r="8" spans="1:2">
      <c r="A8">
        <v>41007</v>
      </c>
      <c r="B8" t="s">
        <v>51</v>
      </c>
    </row>
    <row r="9" spans="1:2">
      <c r="A9">
        <v>41008</v>
      </c>
      <c r="B9" t="s">
        <v>52</v>
      </c>
    </row>
    <row r="10" spans="1:2">
      <c r="A10">
        <v>41009</v>
      </c>
      <c r="B10" t="s">
        <v>53</v>
      </c>
    </row>
    <row r="11" spans="1:2">
      <c r="A11">
        <v>41010</v>
      </c>
      <c r="B11" t="s">
        <v>54</v>
      </c>
    </row>
    <row r="12" spans="1:2">
      <c r="A12">
        <v>41011</v>
      </c>
      <c r="B12" t="s">
        <v>55</v>
      </c>
    </row>
    <row r="13" spans="1:2">
      <c r="A13">
        <v>41012</v>
      </c>
      <c r="B13" t="s">
        <v>56</v>
      </c>
    </row>
    <row r="14" spans="1:2">
      <c r="A14">
        <v>41013</v>
      </c>
      <c r="B14" t="s">
        <v>57</v>
      </c>
    </row>
    <row r="15" spans="1:2">
      <c r="A15">
        <v>41014</v>
      </c>
      <c r="B15" t="s">
        <v>58</v>
      </c>
    </row>
    <row r="16" spans="1:2">
      <c r="A16">
        <v>42001</v>
      </c>
      <c r="B16" t="s">
        <v>59</v>
      </c>
    </row>
    <row r="17" spans="1:2">
      <c r="A17">
        <v>42002</v>
      </c>
      <c r="B17" t="s">
        <v>60</v>
      </c>
    </row>
    <row r="18" spans="1:2">
      <c r="A18">
        <v>42003</v>
      </c>
      <c r="B18" t="s">
        <v>61</v>
      </c>
    </row>
    <row r="19" spans="1:2">
      <c r="A19">
        <v>42004</v>
      </c>
      <c r="B19" t="s">
        <v>62</v>
      </c>
    </row>
    <row r="20" spans="1:2">
      <c r="A20">
        <v>42005</v>
      </c>
      <c r="B20" t="s">
        <v>63</v>
      </c>
    </row>
    <row r="21" spans="1:2">
      <c r="A21">
        <v>42006</v>
      </c>
      <c r="B21" t="s">
        <v>64</v>
      </c>
    </row>
    <row r="22" spans="1:2">
      <c r="A22">
        <v>42007</v>
      </c>
      <c r="B22" t="s">
        <v>65</v>
      </c>
    </row>
    <row r="23" spans="1:2">
      <c r="A23">
        <v>42008</v>
      </c>
      <c r="B23" t="s">
        <v>66</v>
      </c>
    </row>
    <row r="24" spans="1:2">
      <c r="A24">
        <v>42009</v>
      </c>
      <c r="B24" t="s">
        <v>67</v>
      </c>
    </row>
    <row r="25" spans="1:2">
      <c r="A25">
        <v>42010</v>
      </c>
      <c r="B25" t="s">
        <v>68</v>
      </c>
    </row>
    <row r="26" spans="1:2">
      <c r="A26">
        <v>42011</v>
      </c>
      <c r="B26" t="s">
        <v>69</v>
      </c>
    </row>
    <row r="27" spans="1:2">
      <c r="A27">
        <v>42012</v>
      </c>
      <c r="B27" t="s">
        <v>70</v>
      </c>
    </row>
    <row r="28" spans="1:2">
      <c r="A28">
        <v>42013</v>
      </c>
      <c r="B28" t="s">
        <v>71</v>
      </c>
    </row>
    <row r="29" spans="1:2">
      <c r="A29">
        <v>42014</v>
      </c>
      <c r="B29" t="s">
        <v>72</v>
      </c>
    </row>
    <row r="30" spans="1:2">
      <c r="A30">
        <v>42015</v>
      </c>
      <c r="B30" t="s">
        <v>73</v>
      </c>
    </row>
    <row r="31" spans="1:2">
      <c r="A31">
        <v>42016</v>
      </c>
      <c r="B31" t="s">
        <v>74</v>
      </c>
    </row>
    <row r="32" spans="1:2">
      <c r="A32">
        <v>43001</v>
      </c>
      <c r="B32" t="s">
        <v>75</v>
      </c>
    </row>
    <row r="33" spans="1:2">
      <c r="A33">
        <v>43002</v>
      </c>
      <c r="B33" t="s">
        <v>76</v>
      </c>
    </row>
    <row r="34" spans="1:2">
      <c r="A34">
        <v>43003</v>
      </c>
      <c r="B34" t="s">
        <v>77</v>
      </c>
    </row>
    <row r="35" spans="1:2">
      <c r="A35">
        <v>43004</v>
      </c>
      <c r="B35" t="s">
        <v>78</v>
      </c>
    </row>
    <row r="36" spans="1:2">
      <c r="A36">
        <v>43005</v>
      </c>
      <c r="B36" t="s">
        <v>79</v>
      </c>
    </row>
    <row r="37" spans="1:2">
      <c r="A37">
        <v>43006</v>
      </c>
      <c r="B37" t="s">
        <v>80</v>
      </c>
    </row>
    <row r="38" spans="1:2">
      <c r="A38">
        <v>43007</v>
      </c>
      <c r="B38" t="s">
        <v>81</v>
      </c>
    </row>
    <row r="39" spans="1:2">
      <c r="A39">
        <v>43008</v>
      </c>
      <c r="B39" t="s">
        <v>82</v>
      </c>
    </row>
    <row r="40" spans="1:2">
      <c r="A40">
        <v>43009</v>
      </c>
      <c r="B40" t="s">
        <v>83</v>
      </c>
    </row>
    <row r="41" spans="1:2">
      <c r="A41">
        <v>43010</v>
      </c>
      <c r="B41" t="s">
        <v>84</v>
      </c>
    </row>
    <row r="42" spans="1:2">
      <c r="A42">
        <v>43011</v>
      </c>
      <c r="B42" t="s">
        <v>85</v>
      </c>
    </row>
    <row r="43" spans="1:2">
      <c r="A43">
        <v>43012</v>
      </c>
      <c r="B43" t="s">
        <v>86</v>
      </c>
    </row>
    <row r="44" spans="1:2">
      <c r="A44">
        <v>43013</v>
      </c>
      <c r="B44" t="s">
        <v>87</v>
      </c>
    </row>
    <row r="45" spans="1:2">
      <c r="A45">
        <v>43014</v>
      </c>
      <c r="B45" t="s">
        <v>88</v>
      </c>
    </row>
    <row r="46" spans="1:2">
      <c r="A46">
        <v>43015</v>
      </c>
      <c r="B46" t="s">
        <v>89</v>
      </c>
    </row>
    <row r="47" spans="1:2">
      <c r="A47">
        <v>43016</v>
      </c>
      <c r="B47" t="s">
        <v>90</v>
      </c>
    </row>
    <row r="48" spans="1:2">
      <c r="A48">
        <v>43017</v>
      </c>
      <c r="B48" t="s">
        <v>91</v>
      </c>
    </row>
    <row r="49" spans="1:2">
      <c r="A49">
        <v>43018</v>
      </c>
      <c r="B49" t="s">
        <v>92</v>
      </c>
    </row>
    <row r="50" spans="1:2">
      <c r="A50">
        <v>43019</v>
      </c>
      <c r="B50" t="s">
        <v>93</v>
      </c>
    </row>
    <row r="51" spans="1:2">
      <c r="A51">
        <v>43020</v>
      </c>
      <c r="B51" t="s">
        <v>94</v>
      </c>
    </row>
    <row r="52" spans="1:2">
      <c r="A52">
        <v>43021</v>
      </c>
      <c r="B52" t="s">
        <v>95</v>
      </c>
    </row>
    <row r="53" spans="1:2">
      <c r="A53">
        <v>43022</v>
      </c>
      <c r="B53" t="s">
        <v>96</v>
      </c>
    </row>
    <row r="54" spans="1:2">
      <c r="A54">
        <v>43023</v>
      </c>
      <c r="B54" t="s">
        <v>97</v>
      </c>
    </row>
    <row r="55" spans="1:2">
      <c r="A55">
        <v>44001</v>
      </c>
      <c r="B55" t="s">
        <v>98</v>
      </c>
    </row>
    <row r="56" spans="1:2">
      <c r="A56">
        <v>44002</v>
      </c>
      <c r="B56" t="s">
        <v>99</v>
      </c>
    </row>
    <row r="57" spans="1:2">
      <c r="A57">
        <v>44002</v>
      </c>
      <c r="B57" t="s">
        <v>99</v>
      </c>
    </row>
    <row r="58" spans="1:2">
      <c r="A58">
        <v>44004</v>
      </c>
      <c r="B58" t="s">
        <v>100</v>
      </c>
    </row>
    <row r="59" spans="1:2">
      <c r="A59">
        <v>44005</v>
      </c>
      <c r="B59" t="s">
        <v>101</v>
      </c>
    </row>
    <row r="60" spans="1:2">
      <c r="A60">
        <v>44006</v>
      </c>
      <c r="B60" t="s">
        <v>102</v>
      </c>
    </row>
    <row r="61" spans="1:2">
      <c r="A61">
        <v>44007</v>
      </c>
      <c r="B61" t="s">
        <v>103</v>
      </c>
    </row>
    <row r="62" spans="1:2">
      <c r="A62">
        <v>44008</v>
      </c>
      <c r="B62" t="s">
        <v>104</v>
      </c>
    </row>
    <row r="63" spans="1:2">
      <c r="A63">
        <v>44009</v>
      </c>
      <c r="B63" t="s">
        <v>105</v>
      </c>
    </row>
    <row r="64" spans="1:2">
      <c r="A64">
        <v>44010</v>
      </c>
      <c r="B64" t="s">
        <v>106</v>
      </c>
    </row>
    <row r="65" spans="1:2">
      <c r="A65">
        <v>44011</v>
      </c>
      <c r="B65" t="s">
        <v>107</v>
      </c>
    </row>
    <row r="66" spans="1:2">
      <c r="A66">
        <v>44012</v>
      </c>
      <c r="B66" t="s">
        <v>108</v>
      </c>
    </row>
    <row r="67" spans="1:2">
      <c r="A67">
        <v>44013</v>
      </c>
      <c r="B67" t="s">
        <v>109</v>
      </c>
    </row>
    <row r="68" spans="1:2">
      <c r="A68">
        <v>44014</v>
      </c>
      <c r="B68" t="s">
        <v>110</v>
      </c>
    </row>
    <row r="69" spans="1:2">
      <c r="A69">
        <v>44015</v>
      </c>
      <c r="B69" t="s">
        <v>111</v>
      </c>
    </row>
    <row r="70" spans="1:2">
      <c r="A70">
        <v>44016</v>
      </c>
      <c r="B70" t="s">
        <v>112</v>
      </c>
    </row>
    <row r="71" spans="1:2">
      <c r="A71">
        <v>44017</v>
      </c>
      <c r="B71" t="s">
        <v>113</v>
      </c>
    </row>
    <row r="72" spans="1:2">
      <c r="A72">
        <v>45001</v>
      </c>
      <c r="B72" t="s">
        <v>114</v>
      </c>
    </row>
    <row r="73" spans="1:2">
      <c r="A73">
        <v>45002</v>
      </c>
      <c r="B73" t="s">
        <v>115</v>
      </c>
    </row>
    <row r="74" spans="1:2">
      <c r="A74">
        <v>45002</v>
      </c>
      <c r="B74" t="s">
        <v>115</v>
      </c>
    </row>
    <row r="75" spans="1:2">
      <c r="A75">
        <v>45003</v>
      </c>
      <c r="B75" t="s">
        <v>116</v>
      </c>
    </row>
    <row r="76" spans="1:2">
      <c r="A76">
        <v>45004</v>
      </c>
      <c r="B76" t="s">
        <v>117</v>
      </c>
    </row>
    <row r="77" spans="1:2">
      <c r="A77">
        <v>45005</v>
      </c>
      <c r="B77" t="s">
        <v>118</v>
      </c>
    </row>
    <row r="78" spans="1:2">
      <c r="A78">
        <v>45006</v>
      </c>
      <c r="B78" t="s">
        <v>119</v>
      </c>
    </row>
    <row r="79" spans="1:2">
      <c r="A79">
        <v>45007</v>
      </c>
      <c r="B79" t="s">
        <v>120</v>
      </c>
    </row>
    <row r="80" spans="1:2">
      <c r="A80">
        <v>45008</v>
      </c>
      <c r="B80" t="s">
        <v>121</v>
      </c>
    </row>
    <row r="81" spans="1:2">
      <c r="A81">
        <v>45009</v>
      </c>
      <c r="B81" t="s">
        <v>122</v>
      </c>
    </row>
    <row r="82" spans="1:2">
      <c r="A82">
        <v>45010</v>
      </c>
      <c r="B82" t="s">
        <v>123</v>
      </c>
    </row>
    <row r="83" spans="1:2">
      <c r="A83">
        <v>51001</v>
      </c>
      <c r="B83" t="s">
        <v>124</v>
      </c>
    </row>
    <row r="84" spans="1:2">
      <c r="A84">
        <v>51002</v>
      </c>
      <c r="B84" t="s">
        <v>125</v>
      </c>
    </row>
    <row r="85" spans="1:2">
      <c r="A85">
        <v>51003</v>
      </c>
      <c r="B85" t="s">
        <v>126</v>
      </c>
    </row>
    <row r="86" spans="1:2">
      <c r="A86">
        <v>51004</v>
      </c>
      <c r="B86" t="s">
        <v>127</v>
      </c>
    </row>
    <row r="87" spans="1:2">
      <c r="A87">
        <v>51005</v>
      </c>
      <c r="B87" t="s">
        <v>128</v>
      </c>
    </row>
    <row r="88" spans="1:2">
      <c r="A88">
        <v>51006</v>
      </c>
      <c r="B88" t="s">
        <v>129</v>
      </c>
    </row>
    <row r="89" spans="1:2">
      <c r="A89">
        <v>51007</v>
      </c>
      <c r="B89" t="s">
        <v>130</v>
      </c>
    </row>
    <row r="90" spans="1:2">
      <c r="A90">
        <v>51009</v>
      </c>
      <c r="B90" t="s">
        <v>131</v>
      </c>
    </row>
    <row r="91" spans="1:2">
      <c r="A91">
        <v>51010</v>
      </c>
      <c r="B91" t="s">
        <v>132</v>
      </c>
    </row>
    <row r="92" spans="1:2">
      <c r="A92">
        <v>51011</v>
      </c>
      <c r="B92" t="s">
        <v>133</v>
      </c>
    </row>
    <row r="93" spans="1:2">
      <c r="A93">
        <v>51012</v>
      </c>
      <c r="B93" t="s">
        <v>134</v>
      </c>
    </row>
    <row r="94" spans="1:2">
      <c r="A94">
        <v>51013</v>
      </c>
      <c r="B94" t="s">
        <v>135</v>
      </c>
    </row>
    <row r="95" spans="1:2">
      <c r="A95">
        <v>51014</v>
      </c>
      <c r="B95" t="s">
        <v>136</v>
      </c>
    </row>
    <row r="96" spans="1:2">
      <c r="A96">
        <v>51015</v>
      </c>
      <c r="B96" t="s">
        <v>137</v>
      </c>
    </row>
    <row r="97" spans="1:2">
      <c r="A97">
        <v>51016</v>
      </c>
      <c r="B97" t="s">
        <v>138</v>
      </c>
    </row>
    <row r="98" spans="1:2">
      <c r="A98">
        <v>52001</v>
      </c>
      <c r="B98" t="s">
        <v>139</v>
      </c>
    </row>
    <row r="99" spans="1:2">
      <c r="A99">
        <v>52002</v>
      </c>
      <c r="B99" t="s">
        <v>140</v>
      </c>
    </row>
    <row r="100" spans="1:2">
      <c r="A100">
        <v>52003</v>
      </c>
      <c r="B100" t="s">
        <v>141</v>
      </c>
    </row>
    <row r="101" spans="1:2">
      <c r="A101">
        <v>52004</v>
      </c>
      <c r="B101" t="s">
        <v>142</v>
      </c>
    </row>
    <row r="102" spans="1:2">
      <c r="A102">
        <v>52005</v>
      </c>
      <c r="B102" t="s">
        <v>143</v>
      </c>
    </row>
    <row r="103" spans="1:2">
      <c r="A103">
        <v>52006</v>
      </c>
      <c r="B103" t="s">
        <v>144</v>
      </c>
    </row>
    <row r="104" spans="1:2">
      <c r="A104">
        <v>52007</v>
      </c>
      <c r="B104" t="s">
        <v>145</v>
      </c>
    </row>
    <row r="105" spans="1:2">
      <c r="A105">
        <v>52008</v>
      </c>
      <c r="B105" t="s">
        <v>146</v>
      </c>
    </row>
    <row r="106" spans="1:2">
      <c r="A106">
        <v>52009</v>
      </c>
      <c r="B106" t="s">
        <v>147</v>
      </c>
    </row>
    <row r="107" spans="1:2">
      <c r="A107">
        <v>52010</v>
      </c>
      <c r="B107" t="s">
        <v>148</v>
      </c>
    </row>
    <row r="108" spans="1:2">
      <c r="A108">
        <v>52011</v>
      </c>
      <c r="B108" t="s">
        <v>149</v>
      </c>
    </row>
    <row r="109" spans="1:2">
      <c r="A109">
        <v>52012</v>
      </c>
      <c r="B109" t="s">
        <v>150</v>
      </c>
    </row>
    <row r="110" spans="1:2">
      <c r="A110">
        <v>52013</v>
      </c>
      <c r="B110" t="s">
        <v>151</v>
      </c>
    </row>
    <row r="111" spans="1:2">
      <c r="A111">
        <v>52014</v>
      </c>
      <c r="B111" t="s">
        <v>152</v>
      </c>
    </row>
    <row r="112" spans="1:2">
      <c r="A112">
        <v>52015</v>
      </c>
      <c r="B112" t="s">
        <v>153</v>
      </c>
    </row>
    <row r="113" spans="1:2">
      <c r="A113">
        <v>52016</v>
      </c>
      <c r="B113" t="s">
        <v>154</v>
      </c>
    </row>
    <row r="114" spans="1:2">
      <c r="A114">
        <v>52017</v>
      </c>
      <c r="B114" t="s">
        <v>155</v>
      </c>
    </row>
    <row r="115" spans="1:2">
      <c r="A115">
        <v>52018</v>
      </c>
      <c r="B115" t="s">
        <v>156</v>
      </c>
    </row>
    <row r="116" spans="1:2">
      <c r="A116">
        <v>52019</v>
      </c>
      <c r="B116" t="s">
        <v>157</v>
      </c>
    </row>
    <row r="117" spans="1:2">
      <c r="A117">
        <v>53001</v>
      </c>
      <c r="B117" t="s">
        <v>158</v>
      </c>
    </row>
    <row r="118" spans="1:2">
      <c r="A118">
        <v>53002</v>
      </c>
      <c r="B118" t="s">
        <v>159</v>
      </c>
    </row>
    <row r="119" spans="1:2">
      <c r="A119">
        <v>53017</v>
      </c>
      <c r="B119" t="s">
        <v>160</v>
      </c>
    </row>
    <row r="120" spans="1:2">
      <c r="A120">
        <v>52020</v>
      </c>
      <c r="B120" t="s">
        <v>161</v>
      </c>
    </row>
    <row r="121" spans="1:2">
      <c r="A121">
        <v>52021</v>
      </c>
      <c r="B121" t="s">
        <v>60</v>
      </c>
    </row>
    <row r="122" spans="1:2">
      <c r="A122">
        <v>52022</v>
      </c>
      <c r="B122" t="s">
        <v>162</v>
      </c>
    </row>
    <row r="123" spans="1:2">
      <c r="A123">
        <v>53003</v>
      </c>
      <c r="B123" t="s">
        <v>163</v>
      </c>
    </row>
    <row r="124" spans="1:2">
      <c r="A124">
        <v>53004</v>
      </c>
      <c r="B124" t="s">
        <v>164</v>
      </c>
    </row>
    <row r="125" spans="1:2">
      <c r="A125">
        <v>53005</v>
      </c>
      <c r="B125" t="s">
        <v>165</v>
      </c>
    </row>
    <row r="126" spans="1:2">
      <c r="A126">
        <v>53006</v>
      </c>
      <c r="B126" t="s">
        <v>166</v>
      </c>
    </row>
    <row r="127" spans="1:2">
      <c r="A127">
        <v>53007</v>
      </c>
      <c r="B127" t="s">
        <v>167</v>
      </c>
    </row>
    <row r="128" spans="1:2">
      <c r="A128">
        <v>53008</v>
      </c>
      <c r="B128" t="s">
        <v>168</v>
      </c>
    </row>
    <row r="129" spans="1:2">
      <c r="A129">
        <v>53009</v>
      </c>
      <c r="B129" t="s">
        <v>169</v>
      </c>
    </row>
    <row r="130" spans="1:2">
      <c r="A130">
        <v>53010</v>
      </c>
      <c r="B130" t="s">
        <v>170</v>
      </c>
    </row>
    <row r="131" spans="1:2">
      <c r="A131">
        <v>53011</v>
      </c>
      <c r="B131" t="s">
        <v>171</v>
      </c>
    </row>
    <row r="132" spans="1:2">
      <c r="A132">
        <v>53012</v>
      </c>
      <c r="B132" t="s">
        <v>172</v>
      </c>
    </row>
    <row r="133" spans="1:2">
      <c r="A133">
        <v>53013</v>
      </c>
      <c r="B133" t="s">
        <v>173</v>
      </c>
    </row>
    <row r="134" spans="1:2">
      <c r="A134">
        <v>53014</v>
      </c>
      <c r="B134" t="s">
        <v>174</v>
      </c>
    </row>
    <row r="135" spans="1:2">
      <c r="A135">
        <v>53015</v>
      </c>
      <c r="B135" t="s">
        <v>175</v>
      </c>
    </row>
    <row r="136" spans="1:2">
      <c r="A136">
        <v>53016</v>
      </c>
      <c r="B136" t="s">
        <v>176</v>
      </c>
    </row>
    <row r="137" spans="1:2">
      <c r="A137">
        <v>53019</v>
      </c>
      <c r="B137" t="s">
        <v>177</v>
      </c>
    </row>
    <row r="138" spans="1:2">
      <c r="A138">
        <v>53020</v>
      </c>
      <c r="B138" t="s">
        <v>178</v>
      </c>
    </row>
    <row r="139" spans="1:2">
      <c r="A139">
        <v>53021</v>
      </c>
      <c r="B139" t="s">
        <v>179</v>
      </c>
    </row>
    <row r="140" spans="1:2">
      <c r="A140">
        <v>53022</v>
      </c>
      <c r="B140" t="s">
        <v>180</v>
      </c>
    </row>
    <row r="141" spans="1:2">
      <c r="A141">
        <v>54001</v>
      </c>
      <c r="B141" t="s">
        <v>181</v>
      </c>
    </row>
    <row r="142" spans="1:2">
      <c r="A142">
        <v>54002</v>
      </c>
      <c r="B142" t="s">
        <v>182</v>
      </c>
    </row>
    <row r="143" spans="1:2">
      <c r="A143">
        <v>54003</v>
      </c>
      <c r="B143" t="s">
        <v>183</v>
      </c>
    </row>
    <row r="144" spans="1:2">
      <c r="A144">
        <v>54004</v>
      </c>
      <c r="B144" t="s">
        <v>184</v>
      </c>
    </row>
    <row r="145" spans="1:2">
      <c r="A145">
        <v>54005</v>
      </c>
      <c r="B145" t="s">
        <v>185</v>
      </c>
    </row>
    <row r="146" spans="1:2">
      <c r="A146">
        <v>54006</v>
      </c>
      <c r="B146" t="s">
        <v>186</v>
      </c>
    </row>
    <row r="147" spans="1:2">
      <c r="A147">
        <v>54007</v>
      </c>
      <c r="B147" t="s">
        <v>187</v>
      </c>
    </row>
    <row r="148" spans="1:2">
      <c r="A148">
        <v>54008</v>
      </c>
      <c r="B148" t="s">
        <v>188</v>
      </c>
    </row>
    <row r="149" spans="1:2">
      <c r="A149">
        <v>54009</v>
      </c>
      <c r="B149" t="s">
        <v>189</v>
      </c>
    </row>
    <row r="150" spans="1:2">
      <c r="A150">
        <v>54010</v>
      </c>
      <c r="B150" t="s">
        <v>190</v>
      </c>
    </row>
    <row r="151" spans="1:2">
      <c r="A151">
        <v>54011</v>
      </c>
      <c r="B151" t="s">
        <v>191</v>
      </c>
    </row>
    <row r="152" spans="1:2">
      <c r="A152">
        <v>54012</v>
      </c>
      <c r="B152" t="s">
        <v>192</v>
      </c>
    </row>
    <row r="153" spans="1:2">
      <c r="A153">
        <v>54013</v>
      </c>
      <c r="B153" t="s">
        <v>193</v>
      </c>
    </row>
    <row r="154" spans="1:2">
      <c r="A154">
        <v>54014</v>
      </c>
      <c r="B154" t="s">
        <v>194</v>
      </c>
    </row>
    <row r="155" spans="1:2">
      <c r="A155">
        <v>55001</v>
      </c>
      <c r="B155" t="s">
        <v>195</v>
      </c>
    </row>
    <row r="156" spans="1:2">
      <c r="A156">
        <v>55002</v>
      </c>
      <c r="B156" t="s">
        <v>196</v>
      </c>
    </row>
    <row r="157" spans="1:2">
      <c r="A157">
        <v>55003</v>
      </c>
      <c r="B157" t="s">
        <v>197</v>
      </c>
    </row>
    <row r="158" spans="1:2">
      <c r="A158">
        <v>55004</v>
      </c>
      <c r="B158" t="s">
        <v>198</v>
      </c>
    </row>
    <row r="159" spans="1:2">
      <c r="A159">
        <v>53018</v>
      </c>
      <c r="B159" t="s">
        <v>199</v>
      </c>
    </row>
    <row r="160" spans="1:2">
      <c r="A160">
        <v>55005</v>
      </c>
      <c r="B160" t="s">
        <v>200</v>
      </c>
    </row>
    <row r="161" spans="1:2">
      <c r="A161">
        <v>55006</v>
      </c>
      <c r="B161" t="s">
        <v>201</v>
      </c>
    </row>
    <row r="162" spans="1:2">
      <c r="A162">
        <v>55007</v>
      </c>
      <c r="B162" t="s">
        <v>202</v>
      </c>
    </row>
    <row r="163" spans="1:2">
      <c r="A163">
        <v>55008</v>
      </c>
      <c r="B163" t="s">
        <v>203</v>
      </c>
    </row>
    <row r="164" spans="1:2">
      <c r="A164">
        <v>55009</v>
      </c>
      <c r="B164" t="s">
        <v>204</v>
      </c>
    </row>
  </sheetData>
  <phoneticPr fontId="2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I48"/>
  <sheetViews>
    <sheetView zoomScale="140" zoomScaleNormal="140" workbookViewId="0">
      <selection activeCell="N9" sqref="N9"/>
    </sheetView>
  </sheetViews>
  <sheetFormatPr defaultColWidth="9" defaultRowHeight="14.25"/>
  <cols>
    <col min="1" max="1" width="13" bestFit="1" customWidth="1"/>
    <col min="2" max="3" width="13.375" bestFit="1" customWidth="1"/>
    <col min="4" max="4" width="14.875" bestFit="1" customWidth="1"/>
    <col min="5" max="5" width="13.375" bestFit="1" customWidth="1"/>
    <col min="6" max="7" width="14.875" bestFit="1" customWidth="1"/>
  </cols>
  <sheetData>
    <row r="1" spans="1:9" ht="20.25">
      <c r="A1" s="70" t="s">
        <v>283</v>
      </c>
      <c r="B1" s="70" t="s">
        <v>287</v>
      </c>
      <c r="C1" s="70" t="s">
        <v>286</v>
      </c>
      <c r="D1" s="70" t="s">
        <v>285</v>
      </c>
      <c r="E1" s="70" t="s">
        <v>284</v>
      </c>
      <c r="F1" s="70" t="s">
        <v>302</v>
      </c>
      <c r="G1" s="70" t="s">
        <v>304</v>
      </c>
      <c r="I1" s="3" t="s">
        <v>282</v>
      </c>
    </row>
    <row r="2" spans="1:9" ht="20.25">
      <c r="A2" s="18" t="s">
        <v>273</v>
      </c>
      <c r="B2" s="17" t="s">
        <v>148</v>
      </c>
      <c r="C2" s="17" t="s">
        <v>139</v>
      </c>
      <c r="D2" s="17" t="s">
        <v>136</v>
      </c>
      <c r="E2" s="17" t="s">
        <v>155</v>
      </c>
      <c r="F2" s="71" t="s">
        <v>288</v>
      </c>
      <c r="G2" s="75" t="s">
        <v>219</v>
      </c>
      <c r="I2" s="3" t="s">
        <v>305</v>
      </c>
    </row>
    <row r="3" spans="1:9">
      <c r="A3" s="18" t="s">
        <v>167</v>
      </c>
      <c r="B3" s="17" t="s">
        <v>156</v>
      </c>
      <c r="C3" s="17" t="s">
        <v>204</v>
      </c>
      <c r="D3" s="17" t="s">
        <v>154</v>
      </c>
      <c r="E3" s="17" t="s">
        <v>157</v>
      </c>
      <c r="F3" s="71" t="s">
        <v>289</v>
      </c>
      <c r="G3" s="75" t="s">
        <v>220</v>
      </c>
    </row>
    <row r="4" spans="1:9">
      <c r="A4" s="20" t="s">
        <v>124</v>
      </c>
      <c r="B4" s="17" t="s">
        <v>160</v>
      </c>
      <c r="C4" s="17" t="s">
        <v>153</v>
      </c>
      <c r="D4" s="17" t="s">
        <v>138</v>
      </c>
      <c r="E4" s="17" t="s">
        <v>137</v>
      </c>
      <c r="F4" s="71" t="s">
        <v>290</v>
      </c>
      <c r="G4" s="75" t="s">
        <v>221</v>
      </c>
    </row>
    <row r="5" spans="1:9">
      <c r="A5" s="18" t="s">
        <v>159</v>
      </c>
      <c r="B5" s="17" t="s">
        <v>149</v>
      </c>
      <c r="C5" s="17" t="s">
        <v>128</v>
      </c>
      <c r="D5" s="17" t="s">
        <v>170</v>
      </c>
      <c r="E5" s="17" t="s">
        <v>274</v>
      </c>
      <c r="F5" s="71" t="s">
        <v>291</v>
      </c>
      <c r="G5" s="75" t="s">
        <v>225</v>
      </c>
    </row>
    <row r="6" spans="1:9">
      <c r="A6" s="18" t="s">
        <v>151</v>
      </c>
      <c r="B6" s="17" t="s">
        <v>142</v>
      </c>
      <c r="C6" s="17" t="s">
        <v>144</v>
      </c>
      <c r="D6" s="17" t="s">
        <v>195</v>
      </c>
      <c r="E6" s="17" t="s">
        <v>179</v>
      </c>
      <c r="F6" s="71" t="s">
        <v>292</v>
      </c>
      <c r="G6" s="75" t="s">
        <v>226</v>
      </c>
    </row>
    <row r="7" spans="1:9">
      <c r="A7" s="18" t="s">
        <v>140</v>
      </c>
      <c r="B7" s="17" t="s">
        <v>188</v>
      </c>
      <c r="C7" s="17" t="s">
        <v>205</v>
      </c>
      <c r="D7" s="17" t="s">
        <v>134</v>
      </c>
      <c r="E7" s="17" t="s">
        <v>180</v>
      </c>
      <c r="F7" s="71" t="s">
        <v>293</v>
      </c>
      <c r="G7" s="75" t="s">
        <v>303</v>
      </c>
    </row>
    <row r="8" spans="1:9">
      <c r="A8" s="18" t="s">
        <v>125</v>
      </c>
      <c r="B8" s="17" t="s">
        <v>197</v>
      </c>
      <c r="C8" s="17" t="s">
        <v>147</v>
      </c>
    </row>
    <row r="9" spans="1:9">
      <c r="A9" s="18" t="s">
        <v>129</v>
      </c>
      <c r="B9" s="17" t="s">
        <v>200</v>
      </c>
      <c r="C9" s="17" t="s">
        <v>201</v>
      </c>
    </row>
    <row r="10" spans="1:9">
      <c r="A10" s="18" t="s">
        <v>130</v>
      </c>
      <c r="B10" s="17" t="s">
        <v>189</v>
      </c>
      <c r="C10" s="17" t="s">
        <v>48</v>
      </c>
    </row>
    <row r="11" spans="1:9">
      <c r="A11" s="18" t="s">
        <v>164</v>
      </c>
      <c r="B11" s="17" t="s">
        <v>171</v>
      </c>
    </row>
    <row r="12" spans="1:9">
      <c r="A12" s="18" t="s">
        <v>143</v>
      </c>
      <c r="B12" s="22"/>
      <c r="D12" s="22"/>
    </row>
    <row r="13" spans="1:9">
      <c r="A13" s="20" t="s">
        <v>126</v>
      </c>
      <c r="B13" s="22"/>
      <c r="D13" s="22"/>
    </row>
    <row r="14" spans="1:9">
      <c r="A14" s="20" t="s">
        <v>165</v>
      </c>
      <c r="B14" s="22"/>
      <c r="D14" s="22"/>
    </row>
    <row r="15" spans="1:9">
      <c r="A15" s="20" t="s">
        <v>163</v>
      </c>
      <c r="B15" s="22"/>
      <c r="D15" s="22"/>
    </row>
    <row r="16" spans="1:9">
      <c r="A16" s="17" t="s">
        <v>166</v>
      </c>
      <c r="B16" s="22"/>
      <c r="D16" s="22"/>
    </row>
    <row r="17" spans="1:6">
      <c r="A17" s="17" t="s">
        <v>182</v>
      </c>
      <c r="B17" s="22"/>
      <c r="D17" s="22"/>
    </row>
    <row r="18" spans="1:6">
      <c r="A18" s="17" t="s">
        <v>49</v>
      </c>
      <c r="B18" s="22"/>
      <c r="D18" s="22"/>
    </row>
    <row r="19" spans="1:6">
      <c r="A19" s="17" t="s">
        <v>131</v>
      </c>
      <c r="B19" s="22"/>
      <c r="D19" s="22"/>
    </row>
    <row r="20" spans="1:6">
      <c r="A20" s="17" t="s">
        <v>168</v>
      </c>
      <c r="B20" s="22"/>
      <c r="D20" s="22"/>
    </row>
    <row r="21" spans="1:6">
      <c r="A21" s="17" t="s">
        <v>132</v>
      </c>
      <c r="B21" s="22"/>
      <c r="D21" s="22"/>
    </row>
    <row r="22" spans="1:6">
      <c r="A22" s="17" t="s">
        <v>62</v>
      </c>
      <c r="B22" s="22"/>
      <c r="D22" s="22"/>
    </row>
    <row r="23" spans="1:6">
      <c r="A23" s="17" t="s">
        <v>198</v>
      </c>
      <c r="B23" s="22"/>
      <c r="D23" s="22"/>
    </row>
    <row r="24" spans="1:6">
      <c r="A24" s="17" t="s">
        <v>127</v>
      </c>
      <c r="B24" s="22"/>
      <c r="D24" s="22"/>
    </row>
    <row r="25" spans="1:6">
      <c r="A25" s="17" t="s">
        <v>206</v>
      </c>
      <c r="B25" s="22"/>
      <c r="D25" s="22"/>
    </row>
    <row r="26" spans="1:6">
      <c r="A26" s="17" t="s">
        <v>183</v>
      </c>
      <c r="B26" s="22"/>
      <c r="D26" s="22"/>
    </row>
    <row r="27" spans="1:6">
      <c r="A27" s="17" t="s">
        <v>184</v>
      </c>
      <c r="B27" s="22"/>
      <c r="D27" s="22"/>
    </row>
    <row r="28" spans="1:6">
      <c r="A28" s="17" t="s">
        <v>146</v>
      </c>
      <c r="B28" s="22"/>
      <c r="D28" s="22"/>
    </row>
    <row r="29" spans="1:6">
      <c r="A29" s="17" t="s">
        <v>99</v>
      </c>
      <c r="B29" s="22"/>
      <c r="D29" s="22"/>
      <c r="F29" s="21"/>
    </row>
    <row r="30" spans="1:6">
      <c r="A30" s="17" t="s">
        <v>120</v>
      </c>
      <c r="B30" s="22"/>
      <c r="D30" s="22"/>
      <c r="F30" s="21"/>
    </row>
    <row r="31" spans="1:6">
      <c r="A31" s="17" t="s">
        <v>169</v>
      </c>
      <c r="B31" s="22"/>
      <c r="D31" s="22"/>
      <c r="F31" s="21"/>
    </row>
    <row r="32" spans="1:6">
      <c r="A32" s="17" t="s">
        <v>116</v>
      </c>
      <c r="B32" s="22"/>
      <c r="D32" s="22"/>
      <c r="F32" s="21"/>
    </row>
    <row r="33" spans="1:6">
      <c r="A33" s="17" t="s">
        <v>185</v>
      </c>
      <c r="B33" s="22"/>
      <c r="D33" s="22"/>
      <c r="F33" s="21"/>
    </row>
    <row r="34" spans="1:6">
      <c r="A34" s="19" t="s">
        <v>181</v>
      </c>
      <c r="B34" s="22"/>
      <c r="D34" s="22"/>
      <c r="F34" s="21"/>
    </row>
    <row r="35" spans="1:6">
      <c r="A35" s="19" t="s">
        <v>150</v>
      </c>
      <c r="B35" s="22"/>
      <c r="D35" s="22"/>
      <c r="F35" s="21"/>
    </row>
    <row r="36" spans="1:6">
      <c r="A36" s="19" t="s">
        <v>115</v>
      </c>
      <c r="B36" s="22"/>
      <c r="D36" s="22"/>
      <c r="F36" s="21"/>
    </row>
    <row r="37" spans="1:6">
      <c r="A37" s="19" t="s">
        <v>196</v>
      </c>
      <c r="B37" s="22"/>
      <c r="D37" s="22"/>
      <c r="F37" s="21"/>
    </row>
    <row r="38" spans="1:6">
      <c r="A38" s="19" t="s">
        <v>202</v>
      </c>
      <c r="B38" s="22"/>
      <c r="D38" s="22"/>
      <c r="F38" s="21"/>
    </row>
    <row r="39" spans="1:6">
      <c r="A39" s="19" t="s">
        <v>203</v>
      </c>
      <c r="B39" s="23"/>
      <c r="D39" s="23"/>
      <c r="F39" s="21"/>
    </row>
    <row r="40" spans="1:6">
      <c r="B40" s="22"/>
      <c r="D40" s="22"/>
      <c r="F40" s="21"/>
    </row>
    <row r="41" spans="1:6">
      <c r="B41" s="22"/>
      <c r="D41" s="22"/>
      <c r="F41" s="21"/>
    </row>
    <row r="42" spans="1:6">
      <c r="B42" s="22"/>
      <c r="D42" s="22"/>
      <c r="F42" s="21"/>
    </row>
    <row r="43" spans="1:6">
      <c r="B43" s="22"/>
      <c r="D43" s="22"/>
      <c r="F43" s="21"/>
    </row>
    <row r="44" spans="1:6">
      <c r="B44" s="22"/>
      <c r="D44" s="22"/>
      <c r="F44" s="21"/>
    </row>
    <row r="45" spans="1:6">
      <c r="B45" s="22"/>
      <c r="D45" s="22"/>
      <c r="F45" s="21"/>
    </row>
    <row r="46" spans="1:6">
      <c r="B46" s="22"/>
      <c r="D46" s="22"/>
      <c r="F46" s="21"/>
    </row>
    <row r="47" spans="1:6">
      <c r="B47" s="22"/>
      <c r="D47" s="22"/>
      <c r="F47" s="21"/>
    </row>
    <row r="48" spans="1:6">
      <c r="B48" s="22"/>
      <c r="D48" s="22"/>
      <c r="F48" s="21"/>
    </row>
  </sheetData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E40"/>
  <sheetViews>
    <sheetView topLeftCell="A18" workbookViewId="0">
      <selection activeCell="J44" sqref="J44"/>
    </sheetView>
  </sheetViews>
  <sheetFormatPr defaultColWidth="9" defaultRowHeight="20.25"/>
  <cols>
    <col min="1" max="1" width="18.125" style="8" customWidth="1"/>
    <col min="2" max="2" width="21.25" style="8" customWidth="1"/>
    <col min="3" max="3" width="18.25" style="8" customWidth="1"/>
    <col min="4" max="4" width="7" style="8" customWidth="1"/>
    <col min="5" max="5" width="10.75" style="8" customWidth="1"/>
    <col min="6" max="16384" width="9" style="8"/>
  </cols>
  <sheetData>
    <row r="1" spans="1:5" ht="23.25">
      <c r="A1" s="9" t="s">
        <v>207</v>
      </c>
      <c r="B1" s="9" t="s">
        <v>208</v>
      </c>
      <c r="C1" s="9" t="s">
        <v>209</v>
      </c>
      <c r="D1" s="9" t="s">
        <v>210</v>
      </c>
      <c r="E1" s="10"/>
    </row>
    <row r="2" spans="1:5">
      <c r="A2" s="11" t="s">
        <v>211</v>
      </c>
      <c r="B2" s="11" t="s">
        <v>212</v>
      </c>
      <c r="C2" s="11" t="s">
        <v>139</v>
      </c>
      <c r="D2" s="12" t="s">
        <v>213</v>
      </c>
      <c r="E2" s="10"/>
    </row>
    <row r="3" spans="1:5">
      <c r="A3" s="11" t="s">
        <v>211</v>
      </c>
      <c r="B3" s="11" t="s">
        <v>212</v>
      </c>
      <c r="C3" s="11" t="s">
        <v>156</v>
      </c>
      <c r="D3" s="12" t="s">
        <v>213</v>
      </c>
      <c r="E3" s="10"/>
    </row>
    <row r="4" spans="1:5">
      <c r="A4" s="11" t="s">
        <v>211</v>
      </c>
      <c r="B4" s="11" t="s">
        <v>212</v>
      </c>
      <c r="C4" s="11" t="s">
        <v>160</v>
      </c>
      <c r="D4" s="12" t="s">
        <v>213</v>
      </c>
      <c r="E4" s="10"/>
    </row>
    <row r="5" spans="1:5">
      <c r="A5" s="11" t="s">
        <v>211</v>
      </c>
      <c r="B5" s="11" t="s">
        <v>212</v>
      </c>
      <c r="C5" s="11" t="s">
        <v>202</v>
      </c>
      <c r="D5" s="12" t="s">
        <v>214</v>
      </c>
      <c r="E5" s="10"/>
    </row>
    <row r="6" spans="1:5">
      <c r="A6" s="11" t="s">
        <v>211</v>
      </c>
      <c r="B6" s="11" t="s">
        <v>212</v>
      </c>
      <c r="C6" s="11" t="s">
        <v>203</v>
      </c>
      <c r="D6" s="12" t="s">
        <v>214</v>
      </c>
      <c r="E6" s="10"/>
    </row>
    <row r="7" spans="1:5">
      <c r="A7" s="11" t="s">
        <v>211</v>
      </c>
      <c r="B7" s="11" t="s">
        <v>212</v>
      </c>
      <c r="C7" s="11" t="s">
        <v>204</v>
      </c>
      <c r="D7" s="12" t="s">
        <v>214</v>
      </c>
      <c r="E7" s="10"/>
    </row>
    <row r="8" spans="1:5">
      <c r="A8" s="13" t="s">
        <v>215</v>
      </c>
      <c r="B8" s="11" t="s">
        <v>212</v>
      </c>
      <c r="C8" s="11" t="s">
        <v>157</v>
      </c>
      <c r="D8" s="12" t="s">
        <v>213</v>
      </c>
      <c r="E8" s="10"/>
    </row>
    <row r="9" spans="1:5">
      <c r="A9" s="13" t="s">
        <v>215</v>
      </c>
      <c r="B9" s="11" t="s">
        <v>212</v>
      </c>
      <c r="C9" s="11" t="s">
        <v>154</v>
      </c>
      <c r="D9" s="12" t="s">
        <v>213</v>
      </c>
      <c r="E9" s="10"/>
    </row>
    <row r="10" spans="1:5">
      <c r="A10" s="13" t="s">
        <v>215</v>
      </c>
      <c r="B10" s="11" t="s">
        <v>212</v>
      </c>
      <c r="C10" s="11" t="s">
        <v>155</v>
      </c>
      <c r="D10" s="12" t="s">
        <v>213</v>
      </c>
      <c r="E10" s="10"/>
    </row>
    <row r="11" spans="1:5">
      <c r="A11" s="13" t="s">
        <v>215</v>
      </c>
      <c r="B11" s="11" t="s">
        <v>212</v>
      </c>
      <c r="C11" s="11" t="s">
        <v>138</v>
      </c>
      <c r="D11" s="12" t="s">
        <v>213</v>
      </c>
      <c r="E11" s="10"/>
    </row>
    <row r="12" spans="1:5">
      <c r="A12" s="13" t="s">
        <v>215</v>
      </c>
      <c r="B12" s="13" t="s">
        <v>216</v>
      </c>
      <c r="C12" s="13" t="s">
        <v>137</v>
      </c>
      <c r="D12" s="12" t="s">
        <v>214</v>
      </c>
      <c r="E12" s="10"/>
    </row>
    <row r="13" spans="1:5">
      <c r="A13" s="13" t="s">
        <v>215</v>
      </c>
      <c r="B13" s="13" t="s">
        <v>216</v>
      </c>
      <c r="C13" s="13" t="s">
        <v>136</v>
      </c>
      <c r="D13" s="12" t="s">
        <v>214</v>
      </c>
      <c r="E13" s="10"/>
    </row>
    <row r="14" spans="1:5">
      <c r="A14" s="12" t="s">
        <v>217</v>
      </c>
      <c r="B14" s="13" t="s">
        <v>216</v>
      </c>
      <c r="C14" s="13" t="s">
        <v>60</v>
      </c>
      <c r="D14" s="12" t="s">
        <v>213</v>
      </c>
      <c r="E14" s="10"/>
    </row>
    <row r="15" spans="1:5">
      <c r="A15" s="12" t="s">
        <v>217</v>
      </c>
      <c r="B15" s="13" t="s">
        <v>216</v>
      </c>
      <c r="C15" s="13" t="s">
        <v>161</v>
      </c>
      <c r="D15" s="12" t="s">
        <v>213</v>
      </c>
      <c r="E15" s="10"/>
    </row>
    <row r="16" spans="1:5">
      <c r="A16" s="12" t="s">
        <v>217</v>
      </c>
      <c r="B16" s="13" t="s">
        <v>216</v>
      </c>
      <c r="C16" s="13" t="s">
        <v>162</v>
      </c>
      <c r="D16" s="12" t="s">
        <v>213</v>
      </c>
      <c r="E16" s="10"/>
    </row>
    <row r="17" spans="1:5">
      <c r="A17" s="12" t="s">
        <v>217</v>
      </c>
      <c r="B17" s="13" t="s">
        <v>216</v>
      </c>
      <c r="C17" s="13" t="s">
        <v>178</v>
      </c>
      <c r="D17" s="12" t="s">
        <v>213</v>
      </c>
      <c r="E17" s="10"/>
    </row>
    <row r="18" spans="1:5">
      <c r="A18" s="12" t="s">
        <v>217</v>
      </c>
      <c r="B18" s="13" t="s">
        <v>216</v>
      </c>
      <c r="C18" s="13" t="s">
        <v>218</v>
      </c>
      <c r="D18" s="12" t="s">
        <v>214</v>
      </c>
      <c r="E18" s="10"/>
    </row>
    <row r="19" spans="1:5">
      <c r="A19" s="12" t="s">
        <v>272</v>
      </c>
      <c r="B19" s="13" t="s">
        <v>216</v>
      </c>
      <c r="C19" s="13" t="s">
        <v>179</v>
      </c>
      <c r="D19" s="12" t="s">
        <v>214</v>
      </c>
      <c r="E19" s="10"/>
    </row>
    <row r="20" spans="1:5">
      <c r="B20" s="14" t="s">
        <v>276</v>
      </c>
      <c r="C20" s="14" t="s">
        <v>219</v>
      </c>
      <c r="D20" s="12" t="s">
        <v>213</v>
      </c>
      <c r="E20" s="10"/>
    </row>
    <row r="21" spans="1:5">
      <c r="B21" s="14" t="s">
        <v>276</v>
      </c>
      <c r="C21" s="14" t="s">
        <v>220</v>
      </c>
      <c r="D21" s="12" t="s">
        <v>213</v>
      </c>
      <c r="E21" s="10"/>
    </row>
    <row r="22" spans="1:5">
      <c r="B22" s="14" t="s">
        <v>276</v>
      </c>
      <c r="C22" s="14" t="s">
        <v>221</v>
      </c>
      <c r="D22" s="12" t="s">
        <v>213</v>
      </c>
      <c r="E22" s="10"/>
    </row>
    <row r="23" spans="1:5">
      <c r="B23" s="14" t="s">
        <v>276</v>
      </c>
      <c r="C23" s="14" t="s">
        <v>222</v>
      </c>
      <c r="D23" s="12" t="s">
        <v>213</v>
      </c>
      <c r="E23" s="10"/>
    </row>
    <row r="24" spans="1:5">
      <c r="B24" s="14" t="s">
        <v>276</v>
      </c>
      <c r="C24" s="14" t="s">
        <v>223</v>
      </c>
      <c r="D24" s="12" t="s">
        <v>214</v>
      </c>
      <c r="E24" s="10"/>
    </row>
    <row r="25" spans="1:5">
      <c r="B25" s="14" t="s">
        <v>276</v>
      </c>
      <c r="C25" s="14" t="s">
        <v>224</v>
      </c>
      <c r="D25" s="12" t="s">
        <v>214</v>
      </c>
      <c r="E25" s="10"/>
    </row>
    <row r="26" spans="1:5">
      <c r="B26" s="15" t="s">
        <v>275</v>
      </c>
      <c r="C26" s="15" t="s">
        <v>225</v>
      </c>
      <c r="D26" s="12" t="s">
        <v>213</v>
      </c>
      <c r="E26" s="10"/>
    </row>
    <row r="27" spans="1:5">
      <c r="B27" s="15" t="s">
        <v>275</v>
      </c>
      <c r="C27" s="15" t="s">
        <v>226</v>
      </c>
      <c r="D27" s="12" t="s">
        <v>213</v>
      </c>
      <c r="E27" s="10"/>
    </row>
    <row r="28" spans="1:5">
      <c r="B28" s="15" t="s">
        <v>275</v>
      </c>
      <c r="C28" s="15" t="s">
        <v>227</v>
      </c>
      <c r="D28" s="12" t="s">
        <v>213</v>
      </c>
      <c r="E28" s="10"/>
    </row>
    <row r="29" spans="1:5">
      <c r="B29" s="15" t="s">
        <v>275</v>
      </c>
      <c r="C29" s="15" t="s">
        <v>228</v>
      </c>
      <c r="D29" s="12" t="s">
        <v>214</v>
      </c>
      <c r="E29" s="10"/>
    </row>
    <row r="30" spans="1:5">
      <c r="B30" s="12" t="s">
        <v>229</v>
      </c>
      <c r="C30" s="12" t="s">
        <v>145</v>
      </c>
      <c r="D30" s="12" t="s">
        <v>213</v>
      </c>
      <c r="E30" s="12" t="s">
        <v>230</v>
      </c>
    </row>
    <row r="31" spans="1:5">
      <c r="B31" s="12" t="s">
        <v>231</v>
      </c>
      <c r="C31" s="12" t="s">
        <v>177</v>
      </c>
      <c r="D31" s="12" t="s">
        <v>213</v>
      </c>
      <c r="E31" s="10"/>
    </row>
    <row r="32" spans="1:5">
      <c r="B32" s="12" t="s">
        <v>277</v>
      </c>
      <c r="C32" s="12" t="s">
        <v>232</v>
      </c>
      <c r="D32" s="12" t="s">
        <v>213</v>
      </c>
      <c r="E32" s="10"/>
    </row>
    <row r="33" spans="2:5">
      <c r="B33" s="12" t="s">
        <v>277</v>
      </c>
      <c r="C33" s="16" t="s">
        <v>233</v>
      </c>
      <c r="D33" s="12" t="s">
        <v>213</v>
      </c>
      <c r="E33" s="10"/>
    </row>
    <row r="34" spans="2:5">
      <c r="B34" s="12" t="s">
        <v>277</v>
      </c>
      <c r="C34" s="12" t="s">
        <v>234</v>
      </c>
      <c r="D34" s="12" t="s">
        <v>213</v>
      </c>
      <c r="E34" s="10"/>
    </row>
    <row r="35" spans="2:5">
      <c r="B35" s="8" t="s">
        <v>278</v>
      </c>
      <c r="C35" s="8" t="s">
        <v>279</v>
      </c>
      <c r="D35" s="12" t="s">
        <v>213</v>
      </c>
    </row>
    <row r="36" spans="2:5">
      <c r="B36" s="8" t="s">
        <v>278</v>
      </c>
      <c r="C36" s="8" t="s">
        <v>280</v>
      </c>
      <c r="D36" s="12" t="s">
        <v>213</v>
      </c>
    </row>
    <row r="37" spans="2:5">
      <c r="B37" s="8" t="s">
        <v>278</v>
      </c>
      <c r="C37" s="8" t="s">
        <v>281</v>
      </c>
      <c r="D37" s="12" t="s">
        <v>213</v>
      </c>
    </row>
    <row r="38" spans="2:5">
      <c r="B38" s="8" t="s">
        <v>278</v>
      </c>
      <c r="C38" s="8" t="s">
        <v>294</v>
      </c>
      <c r="D38" s="12" t="s">
        <v>213</v>
      </c>
    </row>
    <row r="39" spans="2:5">
      <c r="B39" s="8" t="s">
        <v>278</v>
      </c>
      <c r="C39" s="8" t="s">
        <v>295</v>
      </c>
      <c r="D39" s="12" t="s">
        <v>213</v>
      </c>
    </row>
    <row r="40" spans="2:5">
      <c r="B40" s="8" t="s">
        <v>278</v>
      </c>
      <c r="C40" s="8" t="s">
        <v>296</v>
      </c>
      <c r="D40" s="12" t="s">
        <v>213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/>
  <dimension ref="A1:F24"/>
  <sheetViews>
    <sheetView workbookViewId="0">
      <selection activeCell="J28" sqref="J28"/>
    </sheetView>
  </sheetViews>
  <sheetFormatPr defaultColWidth="9" defaultRowHeight="14.25"/>
  <cols>
    <col min="1" max="1" width="19.25" customWidth="1"/>
    <col min="2" max="2" width="7" customWidth="1"/>
    <col min="3" max="6" width="12.5" customWidth="1"/>
  </cols>
  <sheetData>
    <row r="1" spans="1:6" ht="20.25">
      <c r="A1" s="4" t="s">
        <v>209</v>
      </c>
      <c r="B1" s="4" t="s">
        <v>235</v>
      </c>
      <c r="C1" s="4" t="s">
        <v>236</v>
      </c>
      <c r="D1" s="4" t="s">
        <v>237</v>
      </c>
      <c r="E1" s="4" t="s">
        <v>238</v>
      </c>
      <c r="F1" s="4" t="s">
        <v>239</v>
      </c>
    </row>
    <row r="2" spans="1:6">
      <c r="A2" t="s">
        <v>62</v>
      </c>
      <c r="B2" t="s">
        <v>240</v>
      </c>
      <c r="C2" s="5" t="s">
        <v>241</v>
      </c>
      <c r="D2" s="5"/>
      <c r="E2" s="5"/>
      <c r="F2" s="5"/>
    </row>
    <row r="3" spans="1:6" ht="16.5">
      <c r="A3" s="6" t="s">
        <v>242</v>
      </c>
      <c r="B3" t="s">
        <v>243</v>
      </c>
      <c r="C3" s="5" t="s">
        <v>241</v>
      </c>
      <c r="D3" s="5"/>
      <c r="E3" s="5"/>
      <c r="F3" s="5"/>
    </row>
    <row r="4" spans="1:6">
      <c r="A4" t="s">
        <v>127</v>
      </c>
      <c r="B4" t="s">
        <v>240</v>
      </c>
      <c r="C4" s="5" t="s">
        <v>241</v>
      </c>
      <c r="D4" s="5"/>
      <c r="E4" s="5"/>
    </row>
    <row r="5" spans="1:6">
      <c r="A5" t="s">
        <v>129</v>
      </c>
      <c r="B5" t="s">
        <v>243</v>
      </c>
      <c r="C5" s="5" t="s">
        <v>241</v>
      </c>
      <c r="D5" s="5"/>
      <c r="E5" s="5"/>
      <c r="F5" s="5"/>
    </row>
    <row r="6" spans="1:6">
      <c r="A6" t="s">
        <v>131</v>
      </c>
      <c r="B6" t="s">
        <v>240</v>
      </c>
      <c r="C6" s="5" t="s">
        <v>241</v>
      </c>
      <c r="D6" s="5"/>
      <c r="E6" s="5"/>
      <c r="F6" s="5"/>
    </row>
    <row r="7" spans="1:6">
      <c r="A7" t="s">
        <v>132</v>
      </c>
      <c r="B7" t="s">
        <v>243</v>
      </c>
      <c r="C7" s="5"/>
      <c r="D7" s="5"/>
      <c r="E7" s="5" t="s">
        <v>241</v>
      </c>
      <c r="F7" s="5"/>
    </row>
    <row r="8" spans="1:6">
      <c r="A8" t="s">
        <v>144</v>
      </c>
      <c r="B8" t="s">
        <v>240</v>
      </c>
      <c r="C8" s="5" t="s">
        <v>241</v>
      </c>
      <c r="D8" s="5"/>
      <c r="E8" s="5"/>
      <c r="F8" s="5"/>
    </row>
    <row r="9" spans="1:6">
      <c r="A9" t="s">
        <v>150</v>
      </c>
      <c r="B9" t="s">
        <v>243</v>
      </c>
      <c r="C9" s="5" t="s">
        <v>241</v>
      </c>
      <c r="D9" s="5"/>
      <c r="E9" s="5"/>
      <c r="F9" s="5"/>
    </row>
    <row r="10" spans="1:6">
      <c r="A10" t="s">
        <v>151</v>
      </c>
      <c r="B10" t="s">
        <v>243</v>
      </c>
      <c r="C10" s="5" t="s">
        <v>241</v>
      </c>
      <c r="D10" s="5"/>
      <c r="E10" s="5"/>
      <c r="F10" s="5"/>
    </row>
    <row r="11" spans="1:6">
      <c r="A11" t="s">
        <v>158</v>
      </c>
      <c r="B11" t="s">
        <v>244</v>
      </c>
      <c r="C11" s="5" t="s">
        <v>241</v>
      </c>
      <c r="D11" s="5"/>
      <c r="E11" s="5"/>
      <c r="F11" s="5"/>
    </row>
    <row r="12" spans="1:6">
      <c r="A12" t="s">
        <v>160</v>
      </c>
      <c r="B12" t="s">
        <v>244</v>
      </c>
      <c r="C12" s="5" t="s">
        <v>241</v>
      </c>
      <c r="D12" s="5"/>
      <c r="E12" s="5"/>
      <c r="F12" s="5"/>
    </row>
    <row r="13" spans="1:6">
      <c r="A13" t="s">
        <v>163</v>
      </c>
      <c r="B13" t="s">
        <v>240</v>
      </c>
      <c r="C13" s="5" t="s">
        <v>241</v>
      </c>
      <c r="D13" s="5"/>
      <c r="E13" s="5"/>
      <c r="F13" s="5"/>
    </row>
    <row r="14" spans="1:6">
      <c r="A14" t="s">
        <v>164</v>
      </c>
      <c r="B14" t="s">
        <v>243</v>
      </c>
      <c r="C14" s="5" t="s">
        <v>241</v>
      </c>
      <c r="D14" s="5"/>
      <c r="E14" s="5"/>
      <c r="F14" s="5"/>
    </row>
    <row r="15" spans="1:6">
      <c r="A15" t="s">
        <v>167</v>
      </c>
      <c r="B15" t="s">
        <v>240</v>
      </c>
      <c r="C15" s="5" t="s">
        <v>241</v>
      </c>
      <c r="D15" s="5"/>
      <c r="E15" s="5"/>
      <c r="F15" s="5"/>
    </row>
    <row r="16" spans="1:6">
      <c r="A16" t="s">
        <v>182</v>
      </c>
      <c r="B16" t="s">
        <v>243</v>
      </c>
      <c r="C16" s="5" t="s">
        <v>241</v>
      </c>
      <c r="D16" s="5"/>
      <c r="E16" s="5"/>
      <c r="F16" s="5"/>
    </row>
    <row r="17" spans="1:6">
      <c r="A17" t="s">
        <v>198</v>
      </c>
      <c r="B17" t="s">
        <v>240</v>
      </c>
      <c r="C17" s="5" t="s">
        <v>241</v>
      </c>
      <c r="D17" s="5"/>
      <c r="E17" s="5"/>
      <c r="F17" s="5" t="s">
        <v>241</v>
      </c>
    </row>
    <row r="18" spans="1:6">
      <c r="A18" t="s">
        <v>199</v>
      </c>
      <c r="B18" t="s">
        <v>243</v>
      </c>
      <c r="C18" s="5" t="s">
        <v>241</v>
      </c>
      <c r="D18" s="5"/>
      <c r="E18" s="5"/>
      <c r="F18" s="5"/>
    </row>
    <row r="19" spans="1:6">
      <c r="A19" t="s">
        <v>139</v>
      </c>
      <c r="B19" t="s">
        <v>243</v>
      </c>
      <c r="C19" s="5" t="s">
        <v>241</v>
      </c>
      <c r="D19" s="5"/>
      <c r="E19" s="5"/>
      <c r="F19" s="5"/>
    </row>
    <row r="20" spans="1:6">
      <c r="A20" t="s">
        <v>140</v>
      </c>
      <c r="B20" t="s">
        <v>240</v>
      </c>
      <c r="C20" s="5" t="s">
        <v>241</v>
      </c>
      <c r="D20" s="5"/>
      <c r="E20" s="5" t="s">
        <v>241</v>
      </c>
      <c r="F20" s="5"/>
    </row>
    <row r="21" spans="1:6">
      <c r="A21" t="s">
        <v>153</v>
      </c>
      <c r="B21" t="s">
        <v>243</v>
      </c>
      <c r="C21" s="5" t="s">
        <v>241</v>
      </c>
    </row>
    <row r="22" spans="1:6">
      <c r="A22" s="7" t="s">
        <v>148</v>
      </c>
      <c r="B22" s="7" t="s">
        <v>245</v>
      </c>
      <c r="C22" s="7"/>
      <c r="D22" s="7"/>
      <c r="E22" s="7"/>
      <c r="F22" s="7"/>
    </row>
    <row r="23" spans="1:6">
      <c r="A23" t="s">
        <v>156</v>
      </c>
      <c r="B23" t="s">
        <v>243</v>
      </c>
    </row>
    <row r="24" spans="1:6">
      <c r="A24" t="s">
        <v>246</v>
      </c>
      <c r="B24" t="s">
        <v>243</v>
      </c>
    </row>
  </sheetData>
  <phoneticPr fontId="21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/>
  <dimension ref="A1:G5"/>
  <sheetViews>
    <sheetView workbookViewId="0">
      <selection activeCell="J21" sqref="J21"/>
    </sheetView>
  </sheetViews>
  <sheetFormatPr defaultColWidth="9" defaultRowHeight="14.25"/>
  <cols>
    <col min="1" max="1" width="13" customWidth="1"/>
    <col min="6" max="6" width="8.875" customWidth="1"/>
    <col min="7" max="7" width="30.25" customWidth="1"/>
  </cols>
  <sheetData>
    <row r="1" spans="1:7" ht="14.25" customHeight="1">
      <c r="A1" t="s">
        <v>209</v>
      </c>
      <c r="B1" t="s">
        <v>247</v>
      </c>
      <c r="C1" t="s">
        <v>248</v>
      </c>
      <c r="D1" t="s">
        <v>249</v>
      </c>
      <c r="E1" t="s">
        <v>250</v>
      </c>
      <c r="F1" t="s">
        <v>251</v>
      </c>
      <c r="G1" s="1" t="s">
        <v>252</v>
      </c>
    </row>
    <row r="2" spans="1:7">
      <c r="B2">
        <v>3</v>
      </c>
      <c r="C2">
        <v>6</v>
      </c>
      <c r="D2">
        <v>9</v>
      </c>
      <c r="E2">
        <v>12</v>
      </c>
      <c r="F2">
        <v>15</v>
      </c>
    </row>
    <row r="4" spans="1:7" ht="14.25" customHeight="1">
      <c r="A4" s="2"/>
      <c r="B4" s="2"/>
      <c r="C4" s="2"/>
      <c r="D4" s="2"/>
      <c r="E4" s="2"/>
    </row>
    <row r="5" spans="1:7" ht="14.25" customHeight="1">
      <c r="F5" s="3"/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4</vt:i4>
      </vt:variant>
    </vt:vector>
  </HeadingPairs>
  <TitlesOfParts>
    <vt:vector size="13" baseType="lpstr">
      <vt:lpstr>计算1</vt:lpstr>
      <vt:lpstr>计算 2</vt:lpstr>
      <vt:lpstr>兵力映射新</vt:lpstr>
      <vt:lpstr>兵力映射</vt:lpstr>
      <vt:lpstr>英雄名对应ID</vt:lpstr>
      <vt:lpstr>至臻英雄</vt:lpstr>
      <vt:lpstr>赛季英雄</vt:lpstr>
      <vt:lpstr>英雄皮肤</vt:lpstr>
      <vt:lpstr>注意事项</vt:lpstr>
      <vt:lpstr>兵力调节</vt:lpstr>
      <vt:lpstr>兵力区间</vt:lpstr>
      <vt:lpstr>'计算 2'!属性4</vt:lpstr>
      <vt:lpstr>计算1!属性4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v_yliulliu(刘洋)</dc:creator>
  <cp:lastModifiedBy>yh z</cp:lastModifiedBy>
  <dcterms:created xsi:type="dcterms:W3CDTF">2015-06-05T18:19:00Z</dcterms:created>
  <dcterms:modified xsi:type="dcterms:W3CDTF">2026-10-16T10:29:24Z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92FC77B103F94D9EABDFB9D0D7DF140F_13</vt:lpwstr>
  </property>
  <property fmtid="{D5CDD505-2E9C-101B-9397-08002B2CF9AE}" pid="3" name="KSOProductBuildVer">
    <vt:lpwstr>2052-12.1.0.20305</vt:lpwstr>
  </property>
</Properties>
</file>